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alfan\Documents\0. Gawean\0. DEN\17. Wealth effect saham\raw data\"/>
    </mc:Choice>
  </mc:AlternateContent>
  <xr:revisionPtr revIDLastSave="0" documentId="13_ncr:1_{32504D0E-0619-4E62-8C97-801B65D93402}" xr6:coauthVersionLast="47" xr6:coauthVersionMax="47" xr10:uidLastSave="{00000000-0000-0000-0000-000000000000}"/>
  <bookViews>
    <workbookView xWindow="-90" yWindow="-90" windowWidth="19380" windowHeight="11460" xr2:uid="{00000000-000D-0000-FFFF-FFFF00000000}"/>
  </bookViews>
  <sheets>
    <sheet name="My Ser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8"/>
            <color indexed="81"/>
            <rFont val="Tahoma"/>
            <family val="2"/>
          </rPr>
          <t>pEkAAB+LCAAAAAAAAAPtXG1P47gT/yoR7yFJSwtU3pxKC3sV9EG07MOrlZsMxYdj9287QO/T/2U7j23QNaC90951hbT1zG/ssWPPzC/got9eY+o8g5CEs09H/ol35AALeUTY6tNRoh6O/e7RbwG6eg2BzrDAMSgQ0nmNKZO9Vxl9OnpUat1z3ZeXl5OX9gkXK7fleb77bXw7Dx8hxkc5mPw1+JgwqTAL4ShA/fV6zhMRwiiyXXw6Gs1HJwMg4RArPMYMr0CcXCaSMJDyiimiCMijYDAcT+BVIbfUQ4D6QuDN/BFAyUbduQEaRPEYFI6wws08QQMBWMFgOL5MCI2C1kn3xD/xkbslL3Bf7KOwyBIuk6fIIVawIDEELa/VPfb847a38M57vt9rn2ZWOQbdYqnmIJ5JaARzheO1sfR878Jrtzudc+TWgpBbmnuABokQwJTZDQNOb0lMVLMV8ZBb10mAhvyFUY6jvhzFeAXNelUiAeRudVH0eYdZ0x7tjjeGAbomQqpv2vf0k5V8zyXf7Rp/C07tOn6z7e+B73Ws5HuAzN6b4BiC8caZgyAgkVsIkVse0q34nrrTDxXhrPGCl2zTjgZAaeNTYCw/C7x+1P6+33pBFG1sfs0FhFiqd3k+YpKsHlXDOKIN5ZRG6dFrtuwPmEpAbrmDAN0S9tQ0mMHy9AxHD97xsv3QPj59uGgfX7T91nG7fdrttJdR2G1j5NqeA2T7iYGpMY8abnkfuVXzAE3gZSru4JlIiBbrW5By8UiE2gzxpvFDmC7/gFBdRURpZ99prTfRNaHw/i5MaPhYFzO8+oD1PFkuNuvGB8AaN7YMskBT2AdoSqP0ob7rONkub4lsGPtTwwAN9Oaa3/mnrXO/3fXPkGskaMATpsQmGLGIM5AEa4UVZToDHA1zRcXQxNFdYxteS41bHmIa3ME6WVISOvzBqTeyuDTrhZsBZ2mlNE/Way5Umnfe1iO9IEsswbjZn1/1J8ityHKEcdIgnJmAmCSxk6kKEzuTcsu6eD+5mUy/TqrA1HtdBkwf+pEu6QLP8/xj87PwvJ75MUYFAg2JXFNsF+0zfwbBdDxw7uAZWAI9Z8hjkIqEPeee4SQiCqKes1FRz1ng154zYiGPoefMZo/ODEtMnZbvzEBIzjDVEIczZ44pttuyPFo2tN0moyg47XQ7p53u6VmOy1VV7AKvguH1l0H/atDX/wa/b1loQGZyz4gKRsM7R7EcZWRlgF08jVoIQklShaZLe8UivXa6lOoce+fVVc2U6FrA/xK9P4IxZ+qRbpBbiAqt2Q7jks7uj0pzKsiKMEx3cLmiwA9BhoKsTdbfHbisrbWxU7xMKGaY1Rumq5CrPguerHemUUhrkLUT2tVuWdoiamdOha4G/9Z8tgDoOmGmUirN0y2kV0JwoV1zA/Q7llev6g5iLJ5k8B25VQEymcZsP+OTh9wtCRrJAaZhQrGCbICicNhVoZHchZW1NvRGaVgq2mgkJ/CSRt+J1hRNNJL36wgriKzADdANbHztrvnfFLJ9KXlIsB4nO4Gu1VjbjIp0jr2L41ardAq2MOgWb3ii5gqrRA/1N0UZu9zFU54Bi/AaK8ycCaywwD3nEmgSOwsQZrR0rBn+Az/1nBmw1SOWhGK2PaQG6OxBnkmUOFhh6XzGfxA7ZLqlJkk844QpGZx1kFu00FREIHTdZT+gGdbEyM0+3MBGP4aikcpNEvczhU3pM8GjJFRpepwgtyzItPmyzwR/JhEIN0DpdjVp3Wwkm5wH5xfdThe5ZWGGMKs5AKYEpk7x8HKwXe1SI1v0GARhCj86s0TiKj5dqjmsscCKi2yDFwI0tycW8gqkmiGK1GA/2ckGi0yTtivachTUBOkZquhKlHxDYT3vPyny8KZxPjubi5YU0me7JUFvp7NSHktZunkmg6vRoD+/MvpciOxbjzRO2YaNmYQRqcRGlzzXhOkXLcgt6UtY6/KNIQMgCGbODSSYrXTw3EahucJCpanQvzj22tVUWKiRmapxcnHZanc73dYZcguh1RtfzCdnNDy57vdKu8y5TKIVqJ5zB5iSP01M2g0SNRPtOXnGKAYpxrMzWeAl0GzQ/uxyko4jsSRZjBiScoioW6Gek+eZrf7RAosVKBM+F3xNQrsUs/Puhd9BbiGy2u3wiFnkzGzRmj++AljY7By4qOSd7eGpZJn5tlnr/VKpj2xhdC9BpOdrqBNIpV3SGjcqeutY0dYbuAIwO1o3zUipyo6a8mY3QF/nZlGevB8V1pCK0dd5npdrMIUuA45BSrzSc/3KxZNcY/OG0ENuuZkdubdoy+mBtvy7aUvHbV0UNQUXzoDHa8wIyCySmEJjpN9Y03QwXa9FzoI7d6Awoc5C4AjcexaBWGMSpcNou/2oT6c59bn5B6jPxYH6HKjPf536+N6x3/lHqM/PjlQ/iT5Ztw2DSjdnhUklziXWdUuEKY719CK8sgXMHVFAXWt5kwjMVs4l3mDxFuvyalhX68C6Psq6Or8k6/L3Zl03B9Z1YF0H1vXk/6iQnlrWtYP5Sayrc2BdB9b1/lqml3e9H//qNudftwf+deBfB/514F8/I2b9Kkys50xNYybIEkdv/jrMryFm7QMx+ygx6/6SxKy1NzG7PRCzAzE7ELOn1o8KL6olZjuYn0TMugdidiBmHylypmKFWRrB9iNnZ83J2fjvJ2d+60DODuTsv03OzBUl7+JfSc6qcevXIWjG4i1idl5DzE4PxOyjxOzslyRm7b2J2fhAzA7E7EDMnto/KryolpjtYD5MzNziYlZ+Qnk/anzrMTMdAgXV+KJaZj3mz41t9ZpOTSRqdiktQH35NAelCFvJLCSXRaifKP5A1IDTJGYFpCpFlxSzp+lSWh+Ca0IViGliYoL8StTjhE+XErlbOGsnB4lUPF7Aq06NtqENr7mIsRYVjUAPHGNFQsvbUqlleYIAUyZe9GWYXW3eVWyDhzLMplWjQUMISYzpjOIQpH7XVhWgITzghKrtRdwWZ1zIzDgHlWVoyJnqUxBqSGTImSIsgSiH1ioLm0rNmd/rrlXm17tHTJet+iJ1McqOporWB+iS86dag1yZ20wZ3SwEZvKBizh3YMu2HpT3oZMt0aWr3LquXlLkzLGW4RfMkVCabUGzK/uZLzUaZHfxm/hdnb5sHcIVW91itkr0TfoMvS1H5kK3vZVrt3CK3JGjEQtpEkEajdmDEevDk5KSt9RojNVjGhMGnFJbiukY55qKdbqUIJ4t1rd/6FUWodI5GLHsoNsxa1VVgzv+kj/nXYWuT9cgdAi65DS65ix7mVSjQDtzs4Eas4291StJT23W8OnoVUY9qQRhq6MgLN5jITeF/pWNTJbMDKB/Y7SnzUPGezVv1Elob8uoeP2xv4d5Yba/SX3Furd92GROUjSCK00PGy1azCDmTIf/fZ9PSuejd0xdZmXt3hZgI83eeFph83ubCcvpGg1T88qhZO++ccjmj/xF51wb73LSVpUalJ63/e4Te5KrMgPRgX6eLPWDWEI0vCx3t6MzFqUas+i1XHgWzKM28peJCcRrLjDN3u9sZZ3Ml7+C5f2ME6pIjrJxVhf9JIZrYd5mU4rcoonuBc0yV6C/zkf2XDeM4pMQSKi/JeYk5LEWuIPh+OscuWU80hlGf7UEHWBKlgKX31nV6orKVy+UroQFXusSK7fK2rYiT2cQoC8EXpp/4ccXIhNMzS8PGlagHnLLxllXzV1wt75rKfg/QyyglqRJAAA=</t>
        </r>
      </text>
    </comment>
  </commentList>
</comments>
</file>

<file path=xl/sharedStrings.xml><?xml version="1.0" encoding="utf-8"?>
<sst xmlns="http://schemas.openxmlformats.org/spreadsheetml/2006/main" count="62" uniqueCount="44">
  <si>
    <t>Government Revenue: Domestic: Unaudited: ytd: Tax: Income: PPh Pasal 21 Personal Tax on Salaries</t>
  </si>
  <si>
    <t>Government Revenue: Domestic: Unaudited: ytd: Tax: Income: PPh Pasal 25/29 Personal or Companies Monthly Tax Instalment Related To Retail Trade/Underpaid Income Tax</t>
  </si>
  <si>
    <t>Government Revenue: Domestic: Unaudited: ytd: Tax: Income: PPh Pasal 25/29 Personal or Companies Monthly Tax Instalment Related To Retail Trade/Underpaid Income Tax: Personal</t>
  </si>
  <si>
    <t>Government Revenue: Domestic: Unaudited: ytd: Tax: Income: PPh Pasal 25/29 Personal or Companies Monthly Tax Instalment Related To Retail Trade/Underpaid Income Tax: Organization</t>
  </si>
  <si>
    <t>Region</t>
  </si>
  <si>
    <t>Indonesia</t>
  </si>
  <si>
    <t>Subnational</t>
  </si>
  <si>
    <t>Frequency</t>
  </si>
  <si>
    <t>Monthly</t>
  </si>
  <si>
    <t>Unit</t>
  </si>
  <si>
    <t>IDR tn</t>
  </si>
  <si>
    <t>Source</t>
  </si>
  <si>
    <t>Ministry of Finance</t>
  </si>
  <si>
    <t>Status</t>
  </si>
  <si>
    <t>Active</t>
  </si>
  <si>
    <t>Series ID</t>
  </si>
  <si>
    <t>456545647 (DFVCAECAAAAACH)</t>
  </si>
  <si>
    <t>456545657 (DFVCAECAAAAACK)</t>
  </si>
  <si>
    <t>456545667 (DFVCAECAAAAACL)</t>
  </si>
  <si>
    <t>456545677 (DFVCAECAAAAACM)</t>
  </si>
  <si>
    <t>SR Code</t>
  </si>
  <si>
    <t>SR142813617</t>
  </si>
  <si>
    <t>SR142813647</t>
  </si>
  <si>
    <t>SR142813657</t>
  </si>
  <si>
    <t>SR142813667</t>
  </si>
  <si>
    <t>Trade Code</t>
  </si>
  <si>
    <t>Mnemonic</t>
  </si>
  <si>
    <t>Function Description</t>
  </si>
  <si>
    <t>First Obs. Date</t>
  </si>
  <si>
    <t>Last Obs. Date</t>
  </si>
  <si>
    <t>Last Update Time</t>
  </si>
  <si>
    <t>Series Remarks</t>
  </si>
  <si>
    <t>Disclaimer:
Ministry of Finance (MoF) has retracted the Jan 2025 source file in their website.
CEIC remain the figure from the first issue file and subject to revision after source publish again.</t>
  </si>
  <si>
    <t>Suggestions</t>
  </si>
  <si>
    <t>Mean</t>
  </si>
  <si>
    <t>Variance</t>
  </si>
  <si>
    <t>Standard Deviation</t>
  </si>
  <si>
    <t>Skewness</t>
  </si>
  <si>
    <t>Kurtosis</t>
  </si>
  <si>
    <t>Coefficient Variation</t>
  </si>
  <si>
    <t>Min</t>
  </si>
  <si>
    <t>Max</t>
  </si>
  <si>
    <t>Median</t>
  </si>
  <si>
    <t>No. of 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</si>
</sst>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0.0\ %"/>
  </numFmts>
  <fonts count="7" x14ac:knownFonts="1">
    <font>
      <sz val="11"/>
      <color theme="1"/>
      <name val="Calibri"/>
      <family val="2"/>
      <scheme val="minor"/>
    </font>
    <font>
      <b/>
      <u/>
      <sz val="11"/>
      <color rgb="FF0000FF"/>
      <name val="Calibri"/>
      <family val="2"/>
      <scheme val="minor"/>
    </font>
    <font>
      <b/>
      <sz val="11"/>
      <color theme="1"/>
      <name val="Calibri"/>
      <family val="2"/>
      <scheme val="minor"/>
    </font>
    <font>
      <sz val="11"/>
      <color rgb="FF0000FF"/>
      <name val="Calibri"/>
      <family val="2"/>
      <scheme val="minor"/>
    </font>
    <font>
      <sz val="8"/>
      <color indexed="81"/>
      <name val="Tahoma"/>
      <family val="2"/>
    </font>
    <font>
      <sz val="11"/>
      <color theme="1"/>
      <name val="Calibri"/>
      <family val="2"/>
      <scheme val="minor"/>
    </font>
    <font>
      <b/>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13">
    <xf numFmtId="0" fontId="0" fillId="0" borderId="0" xfId="0"/>
    <xf numFmtId="0" fontId="1" fillId="0" borderId="0" xfId="0" applyFont="1"/>
    <xf numFmtId="0" fontId="2" fillId="0" borderId="0" xfId="0" applyFont="1"/>
    <xf numFmtId="0" fontId="2" fillId="0" borderId="0" xfId="0" applyFont="1" applyAlignment="1">
      <alignment horizontal="left"/>
    </xf>
    <xf numFmtId="164" fontId="2" fillId="0" borderId="0" xfId="0" applyNumberFormat="1" applyFont="1"/>
    <xf numFmtId="14" fontId="2" fillId="0" borderId="0" xfId="0" applyNumberFormat="1" applyFont="1"/>
    <xf numFmtId="0" fontId="2" fillId="0" borderId="0" xfId="0" applyFont="1" applyAlignment="1">
      <alignment wrapText="1"/>
    </xf>
    <xf numFmtId="2" fontId="2" fillId="0" borderId="0" xfId="0" applyNumberFormat="1" applyFont="1"/>
    <xf numFmtId="164" fontId="0" fillId="0" borderId="0" xfId="0" applyNumberFormat="1"/>
    <xf numFmtId="2" fontId="0" fillId="0" borderId="0" xfId="0" applyNumberFormat="1"/>
    <xf numFmtId="2" fontId="3" fillId="0" borderId="0" xfId="0" applyNumberFormat="1" applyFont="1"/>
    <xf numFmtId="165" fontId="0" fillId="0" borderId="0" xfId="1" applyNumberFormat="1" applyFont="1"/>
    <xf numFmtId="0" fontId="6" fillId="0" borderId="0" xfId="0" applyFont="1" applyAlignment="1">
      <alignment horizontal="left" vertical="top" wrapText="1"/>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6"/>
  <sheetViews>
    <sheetView tabSelected="1" workbookViewId="0">
      <pane xSplit="1" ySplit="1" topLeftCell="B95" activePane="bottomRight" state="frozen"/>
      <selection pane="topRight" activeCell="B1" sqref="B1"/>
      <selection pane="bottomLeft" activeCell="A2" sqref="A2"/>
      <selection pane="bottomRight" activeCell="E107" sqref="E107"/>
    </sheetView>
  </sheetViews>
  <sheetFormatPr defaultRowHeight="14.75" x14ac:dyDescent="0.75"/>
  <cols>
    <col min="2" max="5" width="25.6328125" customWidth="1"/>
  </cols>
  <sheetData>
    <row r="1" spans="1:5" ht="69.5" customHeight="1" x14ac:dyDescent="0.75">
      <c r="A1" s="1" t="e">
        <f ca="1">CEIC.LINK("eb47adf0-b3f3-4f93-9312-334653bdc63a", "Series")</f>
        <v>#NAME?</v>
      </c>
      <c r="B1" s="12" t="s">
        <v>0</v>
      </c>
      <c r="C1" s="12" t="s">
        <v>1</v>
      </c>
      <c r="D1" s="12" t="s">
        <v>2</v>
      </c>
      <c r="E1" s="12" t="s">
        <v>3</v>
      </c>
    </row>
    <row r="2" spans="1:5" x14ac:dyDescent="0.75">
      <c r="A2" s="2" t="s">
        <v>4</v>
      </c>
      <c r="B2" s="2" t="s">
        <v>5</v>
      </c>
      <c r="C2" s="2" t="s">
        <v>5</v>
      </c>
      <c r="D2" s="2" t="s">
        <v>5</v>
      </c>
      <c r="E2" s="2" t="s">
        <v>5</v>
      </c>
    </row>
    <row r="3" spans="1:5" x14ac:dyDescent="0.75">
      <c r="A3" s="2" t="s">
        <v>6</v>
      </c>
      <c r="B3" s="2"/>
      <c r="C3" s="2"/>
      <c r="D3" s="2"/>
      <c r="E3" s="2"/>
    </row>
    <row r="4" spans="1:5" x14ac:dyDescent="0.75">
      <c r="A4" s="2" t="s">
        <v>7</v>
      </c>
      <c r="B4" s="2" t="s">
        <v>8</v>
      </c>
      <c r="C4" s="2" t="s">
        <v>8</v>
      </c>
      <c r="D4" s="2" t="s">
        <v>8</v>
      </c>
      <c r="E4" s="2" t="s">
        <v>8</v>
      </c>
    </row>
    <row r="5" spans="1:5" x14ac:dyDescent="0.75">
      <c r="A5" s="2" t="s">
        <v>9</v>
      </c>
      <c r="B5" s="2" t="s">
        <v>10</v>
      </c>
      <c r="C5" s="2" t="s">
        <v>10</v>
      </c>
      <c r="D5" s="2" t="s">
        <v>10</v>
      </c>
      <c r="E5" s="2" t="s">
        <v>10</v>
      </c>
    </row>
    <row r="6" spans="1:5" x14ac:dyDescent="0.75">
      <c r="A6" s="2" t="s">
        <v>11</v>
      </c>
      <c r="B6" s="2" t="s">
        <v>12</v>
      </c>
      <c r="C6" s="2" t="s">
        <v>12</v>
      </c>
      <c r="D6" s="2" t="s">
        <v>12</v>
      </c>
      <c r="E6" s="2" t="s">
        <v>12</v>
      </c>
    </row>
    <row r="7" spans="1:5" x14ac:dyDescent="0.75">
      <c r="A7" s="2" t="s">
        <v>13</v>
      </c>
      <c r="B7" s="2" t="s">
        <v>14</v>
      </c>
      <c r="C7" s="2" t="s">
        <v>14</v>
      </c>
      <c r="D7" s="2" t="s">
        <v>14</v>
      </c>
      <c r="E7" s="2" t="s">
        <v>14</v>
      </c>
    </row>
    <row r="8" spans="1:5" x14ac:dyDescent="0.75">
      <c r="A8" s="3" t="s">
        <v>15</v>
      </c>
      <c r="B8" s="3" t="s">
        <v>16</v>
      </c>
      <c r="C8" s="3" t="s">
        <v>17</v>
      </c>
      <c r="D8" s="3" t="s">
        <v>18</v>
      </c>
      <c r="E8" s="3" t="s">
        <v>19</v>
      </c>
    </row>
    <row r="9" spans="1:5" x14ac:dyDescent="0.75">
      <c r="A9" s="2" t="s">
        <v>20</v>
      </c>
      <c r="B9" s="2" t="s">
        <v>21</v>
      </c>
      <c r="C9" s="2" t="s">
        <v>22</v>
      </c>
      <c r="D9" s="2" t="s">
        <v>23</v>
      </c>
      <c r="E9" s="2" t="s">
        <v>24</v>
      </c>
    </row>
    <row r="10" spans="1:5" x14ac:dyDescent="0.75">
      <c r="A10" s="2" t="s">
        <v>25</v>
      </c>
      <c r="B10" s="2"/>
      <c r="C10" s="2"/>
      <c r="D10" s="2"/>
      <c r="E10" s="2"/>
    </row>
    <row r="11" spans="1:5" x14ac:dyDescent="0.75">
      <c r="A11" s="2" t="s">
        <v>26</v>
      </c>
      <c r="B11" s="2"/>
      <c r="C11" s="2"/>
      <c r="D11" s="2"/>
      <c r="E11" s="2"/>
    </row>
    <row r="12" spans="1:5" x14ac:dyDescent="0.75">
      <c r="A12" s="2" t="s">
        <v>27</v>
      </c>
      <c r="B12" s="2"/>
      <c r="C12" s="2"/>
      <c r="D12" s="2"/>
      <c r="E12" s="2"/>
    </row>
    <row r="13" spans="1:5" x14ac:dyDescent="0.75">
      <c r="A13" s="2" t="s">
        <v>28</v>
      </c>
      <c r="B13" s="4">
        <v>43525</v>
      </c>
      <c r="C13" s="4">
        <v>43525</v>
      </c>
      <c r="D13" s="4">
        <v>43525</v>
      </c>
      <c r="E13" s="4">
        <v>43525</v>
      </c>
    </row>
    <row r="14" spans="1:5" x14ac:dyDescent="0.75">
      <c r="A14" s="2" t="s">
        <v>29</v>
      </c>
      <c r="B14" s="4">
        <v>45870</v>
      </c>
      <c r="C14" s="4">
        <v>45901</v>
      </c>
      <c r="D14" s="4">
        <v>45901</v>
      </c>
      <c r="E14" s="4">
        <v>45992</v>
      </c>
    </row>
    <row r="15" spans="1:5" x14ac:dyDescent="0.75">
      <c r="A15" s="2" t="s">
        <v>30</v>
      </c>
      <c r="B15" s="5">
        <v>45922</v>
      </c>
      <c r="C15" s="5">
        <v>45945</v>
      </c>
      <c r="D15" s="5">
        <v>45945</v>
      </c>
      <c r="E15" s="5">
        <v>46031</v>
      </c>
    </row>
    <row r="16" spans="1:5" ht="13.75" customHeight="1" x14ac:dyDescent="0.75">
      <c r="A16" s="6" t="s">
        <v>31</v>
      </c>
      <c r="B16" s="6" t="s">
        <v>32</v>
      </c>
      <c r="C16" s="6" t="s">
        <v>32</v>
      </c>
      <c r="D16" s="6" t="s">
        <v>32</v>
      </c>
      <c r="E16" s="6" t="s">
        <v>32</v>
      </c>
    </row>
    <row r="17" spans="1:5" x14ac:dyDescent="0.75">
      <c r="A17" s="3" t="s">
        <v>33</v>
      </c>
      <c r="B17" s="3"/>
      <c r="C17" s="3"/>
      <c r="D17" s="3"/>
      <c r="E17" s="3"/>
    </row>
    <row r="18" spans="1:5" x14ac:dyDescent="0.75">
      <c r="A18" s="7" t="s">
        <v>34</v>
      </c>
      <c r="B18" s="7">
        <v>98.339073781333354</v>
      </c>
      <c r="C18" s="7">
        <v>164.5172876899999</v>
      </c>
      <c r="D18" s="7">
        <v>8.2738977119718289</v>
      </c>
      <c r="E18" s="7">
        <v>161.45171026666671</v>
      </c>
    </row>
    <row r="19" spans="1:5" x14ac:dyDescent="0.75">
      <c r="A19" s="7" t="s">
        <v>35</v>
      </c>
      <c r="B19" s="7">
        <v>3119.1751122167152</v>
      </c>
      <c r="C19" s="7">
        <v>11644.74272670191</v>
      </c>
      <c r="D19" s="7">
        <v>14.79045987831125</v>
      </c>
      <c r="E19" s="7">
        <v>11053.61993520979</v>
      </c>
    </row>
    <row r="20" spans="1:5" x14ac:dyDescent="0.75">
      <c r="A20" s="7" t="s">
        <v>36</v>
      </c>
      <c r="B20" s="7">
        <v>55.849575756819448</v>
      </c>
      <c r="C20" s="7">
        <v>107.91080912819579</v>
      </c>
      <c r="D20" s="7">
        <v>3.8458366941812869</v>
      </c>
      <c r="E20" s="7">
        <v>105.13619707412759</v>
      </c>
    </row>
    <row r="21" spans="1:5" x14ac:dyDescent="0.75">
      <c r="A21" s="7" t="s">
        <v>37</v>
      </c>
      <c r="B21" s="7">
        <v>0.41650647009638198</v>
      </c>
      <c r="C21" s="7">
        <v>0.35568784175741452</v>
      </c>
      <c r="D21" s="7">
        <v>-0.78868566828200193</v>
      </c>
      <c r="E21" s="7">
        <v>0.33807263546086908</v>
      </c>
    </row>
    <row r="22" spans="1:5" x14ac:dyDescent="0.75">
      <c r="A22" s="7" t="s">
        <v>38</v>
      </c>
      <c r="B22" s="7">
        <v>-0.49916385081426951</v>
      </c>
      <c r="C22" s="7">
        <v>-0.7103179176652703</v>
      </c>
      <c r="D22" s="7">
        <v>0.31177012746434268</v>
      </c>
      <c r="E22" s="7">
        <v>-0.8209783173908578</v>
      </c>
    </row>
    <row r="23" spans="1:5" x14ac:dyDescent="0.75">
      <c r="A23" s="7" t="s">
        <v>39</v>
      </c>
      <c r="B23" s="7">
        <v>0.56792863313932063</v>
      </c>
      <c r="C23" s="7">
        <v>0.65592382808749106</v>
      </c>
      <c r="D23" s="7">
        <v>0.46481559575199899</v>
      </c>
      <c r="E23" s="7">
        <v>0.65119283592893595</v>
      </c>
    </row>
    <row r="24" spans="1:5" x14ac:dyDescent="0.75">
      <c r="A24" s="7" t="s">
        <v>40</v>
      </c>
      <c r="B24" s="7">
        <v>14.36</v>
      </c>
      <c r="C24" s="7">
        <v>3.51</v>
      </c>
      <c r="D24" s="7">
        <v>0.36</v>
      </c>
      <c r="E24" s="7">
        <v>3.15</v>
      </c>
    </row>
    <row r="25" spans="1:5" x14ac:dyDescent="0.75">
      <c r="A25" s="7" t="s">
        <v>41</v>
      </c>
      <c r="B25" s="7">
        <v>243.8</v>
      </c>
      <c r="C25" s="7">
        <v>420.85898659999998</v>
      </c>
      <c r="D25" s="7">
        <v>16.82</v>
      </c>
      <c r="E25" s="7">
        <v>408.2350045</v>
      </c>
    </row>
    <row r="26" spans="1:5" x14ac:dyDescent="0.75">
      <c r="A26" s="7" t="s">
        <v>42</v>
      </c>
      <c r="B26" s="7">
        <v>96.77</v>
      </c>
      <c r="C26" s="7">
        <v>149.94999999999999</v>
      </c>
      <c r="D26" s="7">
        <v>8.94</v>
      </c>
      <c r="E26" s="7">
        <v>156.935</v>
      </c>
    </row>
    <row r="27" spans="1:5" x14ac:dyDescent="0.75">
      <c r="A27" s="2" t="s">
        <v>43</v>
      </c>
      <c r="B27" s="2">
        <v>75</v>
      </c>
      <c r="C27" s="2">
        <v>70</v>
      </c>
      <c r="D27" s="2">
        <v>71</v>
      </c>
      <c r="E27" s="2">
        <v>78</v>
      </c>
    </row>
    <row r="28" spans="1:5" x14ac:dyDescent="0.75">
      <c r="A28" s="8">
        <v>43525</v>
      </c>
      <c r="B28" s="9">
        <v>35.1</v>
      </c>
      <c r="C28" s="9">
        <v>46.71</v>
      </c>
      <c r="D28" s="9">
        <v>6.5</v>
      </c>
      <c r="E28" s="9">
        <v>40.21</v>
      </c>
    </row>
    <row r="29" spans="1:5" x14ac:dyDescent="0.75">
      <c r="A29" s="8">
        <v>43556</v>
      </c>
      <c r="B29" s="9">
        <v>46.47</v>
      </c>
      <c r="C29" s="9">
        <v>102.6</v>
      </c>
      <c r="D29" s="9">
        <v>7.29</v>
      </c>
      <c r="E29" s="9">
        <v>95.31</v>
      </c>
    </row>
    <row r="30" spans="1:5" x14ac:dyDescent="0.75">
      <c r="A30" s="8">
        <v>43586</v>
      </c>
      <c r="B30" s="9">
        <v>65.22</v>
      </c>
      <c r="C30" s="9">
        <v>117.31</v>
      </c>
      <c r="D30" s="9">
        <v>7.62</v>
      </c>
      <c r="E30" s="9">
        <v>109.68</v>
      </c>
    </row>
    <row r="31" spans="1:5" x14ac:dyDescent="0.75">
      <c r="A31" s="8">
        <v>43617</v>
      </c>
      <c r="B31" s="9">
        <v>78.08</v>
      </c>
      <c r="C31" s="9">
        <v>131.91</v>
      </c>
      <c r="D31" s="9">
        <v>7.94</v>
      </c>
      <c r="E31" s="9">
        <v>123.97</v>
      </c>
    </row>
    <row r="32" spans="1:5" x14ac:dyDescent="0.75">
      <c r="A32" s="8">
        <v>43647</v>
      </c>
      <c r="B32" s="9">
        <v>91.56</v>
      </c>
      <c r="C32" s="9">
        <v>147.69999999999999</v>
      </c>
      <c r="D32" s="9">
        <v>8.5</v>
      </c>
      <c r="E32" s="9">
        <v>139.19</v>
      </c>
    </row>
    <row r="33" spans="1:5" x14ac:dyDescent="0.75">
      <c r="A33" s="8">
        <v>43678</v>
      </c>
      <c r="B33" s="9">
        <v>102.13</v>
      </c>
      <c r="C33" s="9">
        <v>164.54</v>
      </c>
      <c r="D33" s="9">
        <v>8.91</v>
      </c>
      <c r="E33" s="9">
        <v>155.62</v>
      </c>
    </row>
    <row r="34" spans="1:5" x14ac:dyDescent="0.75">
      <c r="A34" s="8">
        <v>43709</v>
      </c>
      <c r="B34" s="9">
        <v>111.45</v>
      </c>
      <c r="C34" s="9">
        <v>181.7</v>
      </c>
      <c r="D34" s="9">
        <v>9.36</v>
      </c>
      <c r="E34" s="9">
        <v>172.34</v>
      </c>
    </row>
    <row r="35" spans="1:5" x14ac:dyDescent="0.75">
      <c r="A35" s="8">
        <v>43739</v>
      </c>
      <c r="B35" s="9">
        <v>121.27</v>
      </c>
      <c r="C35" s="9">
        <v>202.49</v>
      </c>
      <c r="D35" s="9">
        <v>9.8800000000000008</v>
      </c>
      <c r="E35" s="9">
        <v>192.6</v>
      </c>
    </row>
    <row r="36" spans="1:5" x14ac:dyDescent="0.75">
      <c r="A36" s="8">
        <v>43770</v>
      </c>
      <c r="B36" s="9">
        <v>133.16999999999999</v>
      </c>
      <c r="C36" s="9">
        <v>222</v>
      </c>
      <c r="D36" s="9">
        <v>10.34</v>
      </c>
      <c r="E36" s="9">
        <v>211.66</v>
      </c>
    </row>
    <row r="37" spans="1:5" x14ac:dyDescent="0.75">
      <c r="A37" s="8">
        <v>43800</v>
      </c>
      <c r="B37" s="9">
        <v>148.63</v>
      </c>
      <c r="C37" s="9">
        <v>267.97000000000003</v>
      </c>
      <c r="D37" s="9">
        <v>11.23</v>
      </c>
      <c r="E37" s="9">
        <v>256.74</v>
      </c>
    </row>
    <row r="38" spans="1:5" x14ac:dyDescent="0.75">
      <c r="A38" s="8">
        <v>43831</v>
      </c>
      <c r="B38" s="9">
        <v>15.28</v>
      </c>
      <c r="C38" s="9">
        <v>7.32</v>
      </c>
      <c r="D38" s="9">
        <v>0.4</v>
      </c>
      <c r="E38" s="9">
        <v>6.92</v>
      </c>
    </row>
    <row r="39" spans="1:5" x14ac:dyDescent="0.75">
      <c r="A39" s="8">
        <v>43862</v>
      </c>
      <c r="B39" s="9">
        <v>25.56</v>
      </c>
      <c r="C39" s="9">
        <v>21.23</v>
      </c>
      <c r="D39" s="9">
        <v>1.02</v>
      </c>
      <c r="E39" s="9">
        <v>20.2</v>
      </c>
    </row>
    <row r="40" spans="1:5" x14ac:dyDescent="0.75">
      <c r="A40" s="8">
        <v>43891</v>
      </c>
      <c r="B40" s="9">
        <v>36.58</v>
      </c>
      <c r="C40" s="9">
        <v>37.619999999999997</v>
      </c>
      <c r="D40" s="9">
        <v>3.08</v>
      </c>
      <c r="E40" s="9">
        <v>34.54</v>
      </c>
    </row>
    <row r="41" spans="1:5" x14ac:dyDescent="0.75">
      <c r="A41" s="8">
        <v>43922</v>
      </c>
      <c r="B41" s="9">
        <v>48.38</v>
      </c>
      <c r="C41" s="9">
        <v>88.08</v>
      </c>
      <c r="D41" s="9">
        <v>7.28</v>
      </c>
      <c r="E41" s="9">
        <v>80.8</v>
      </c>
    </row>
    <row r="42" spans="1:5" x14ac:dyDescent="0.75">
      <c r="A42" s="8">
        <v>43952</v>
      </c>
      <c r="B42" s="9">
        <v>61.96</v>
      </c>
      <c r="C42" s="9">
        <v>95.47</v>
      </c>
      <c r="D42" s="9">
        <v>7.81</v>
      </c>
      <c r="E42" s="9">
        <v>87.66</v>
      </c>
    </row>
    <row r="43" spans="1:5" x14ac:dyDescent="0.75">
      <c r="A43" s="8">
        <v>43983</v>
      </c>
      <c r="B43" s="9">
        <v>76.319999999999993</v>
      </c>
      <c r="C43" s="9">
        <v>104.67</v>
      </c>
      <c r="D43" s="9">
        <v>8.23</v>
      </c>
      <c r="E43" s="9">
        <v>96.44</v>
      </c>
    </row>
    <row r="44" spans="1:5" x14ac:dyDescent="0.75">
      <c r="A44" s="8">
        <v>44013</v>
      </c>
      <c r="B44" s="9">
        <v>86.94</v>
      </c>
      <c r="C44" s="9">
        <v>113.14</v>
      </c>
      <c r="D44" s="9">
        <v>8.6999999999999993</v>
      </c>
      <c r="E44" s="9">
        <v>104.44</v>
      </c>
    </row>
    <row r="45" spans="1:5" x14ac:dyDescent="0.75">
      <c r="A45" s="8">
        <v>44044</v>
      </c>
      <c r="B45" s="9">
        <v>96.77</v>
      </c>
      <c r="C45" s="9">
        <v>122.13</v>
      </c>
      <c r="D45" s="9">
        <v>9.1300000000000008</v>
      </c>
      <c r="E45" s="9">
        <v>112.99</v>
      </c>
    </row>
    <row r="46" spans="1:5" x14ac:dyDescent="0.75">
      <c r="A46" s="8">
        <v>44075</v>
      </c>
      <c r="B46" s="9">
        <v>106.51</v>
      </c>
      <c r="C46" s="9">
        <v>129.49</v>
      </c>
      <c r="D46" s="9">
        <v>9.5500000000000007</v>
      </c>
      <c r="E46" s="9">
        <v>119.94</v>
      </c>
    </row>
    <row r="47" spans="1:5" x14ac:dyDescent="0.75">
      <c r="A47" s="8">
        <v>44105</v>
      </c>
      <c r="B47" s="9">
        <v>115.71</v>
      </c>
      <c r="C47" s="9">
        <v>135.16</v>
      </c>
      <c r="D47" s="9">
        <v>10</v>
      </c>
      <c r="E47" s="9">
        <v>125.16</v>
      </c>
    </row>
    <row r="48" spans="1:5" x14ac:dyDescent="0.75">
      <c r="A48" s="8">
        <v>44136</v>
      </c>
      <c r="B48" s="9">
        <v>126.25</v>
      </c>
      <c r="C48" s="9">
        <v>145.80000000000001</v>
      </c>
      <c r="D48" s="9">
        <v>10.51</v>
      </c>
      <c r="E48" s="9">
        <v>135.29</v>
      </c>
    </row>
    <row r="49" spans="1:5" x14ac:dyDescent="0.75">
      <c r="A49" s="8">
        <v>44166</v>
      </c>
      <c r="B49" s="9">
        <v>140.78</v>
      </c>
      <c r="C49" s="9">
        <v>169.81</v>
      </c>
      <c r="D49" s="9">
        <v>11.56</v>
      </c>
      <c r="E49" s="9">
        <v>158.25</v>
      </c>
    </row>
    <row r="50" spans="1:5" x14ac:dyDescent="0.75">
      <c r="A50" s="8">
        <v>44197</v>
      </c>
      <c r="B50" s="9">
        <v>14.36</v>
      </c>
      <c r="C50" s="9">
        <v>3.51</v>
      </c>
      <c r="D50" s="9">
        <v>0.36</v>
      </c>
      <c r="E50" s="9">
        <v>3.15</v>
      </c>
    </row>
    <row r="51" spans="1:5" x14ac:dyDescent="0.75">
      <c r="A51" s="8">
        <v>44228</v>
      </c>
      <c r="B51" s="9">
        <v>24.15</v>
      </c>
      <c r="C51" s="9">
        <v>13.25</v>
      </c>
      <c r="D51" s="9">
        <v>0.9</v>
      </c>
      <c r="E51" s="9">
        <v>12.35</v>
      </c>
    </row>
    <row r="52" spans="1:5" x14ac:dyDescent="0.75">
      <c r="A52" s="8">
        <v>44256</v>
      </c>
      <c r="B52" s="9">
        <v>34.54</v>
      </c>
      <c r="C52" s="9">
        <v>26.71</v>
      </c>
      <c r="D52" s="9">
        <v>6.15</v>
      </c>
      <c r="E52" s="9">
        <v>20.57</v>
      </c>
    </row>
    <row r="53" spans="1:5" x14ac:dyDescent="0.75">
      <c r="A53" s="8">
        <v>44287</v>
      </c>
      <c r="B53" s="9">
        <v>46.38</v>
      </c>
      <c r="C53" s="9">
        <v>88.21</v>
      </c>
      <c r="D53" s="9">
        <v>7.03</v>
      </c>
      <c r="E53" s="9">
        <v>81.180000000000007</v>
      </c>
    </row>
    <row r="54" spans="1:5" x14ac:dyDescent="0.75">
      <c r="A54" s="8">
        <v>44317</v>
      </c>
      <c r="B54" s="9">
        <v>64.650000000000006</v>
      </c>
      <c r="C54" s="9">
        <v>91.5</v>
      </c>
      <c r="D54" s="9">
        <v>7.58</v>
      </c>
      <c r="E54" s="9">
        <v>83.91</v>
      </c>
    </row>
    <row r="55" spans="1:5" x14ac:dyDescent="0.75">
      <c r="A55" s="8">
        <v>44348</v>
      </c>
      <c r="B55" s="9">
        <v>76.260000000000005</v>
      </c>
      <c r="C55" s="9">
        <v>97.45</v>
      </c>
      <c r="D55" s="9">
        <v>8.01</v>
      </c>
      <c r="E55" s="9">
        <v>89.43</v>
      </c>
    </row>
    <row r="56" spans="1:5" x14ac:dyDescent="0.75">
      <c r="A56" s="8">
        <v>44378</v>
      </c>
      <c r="B56" s="9">
        <v>87.51</v>
      </c>
      <c r="C56" s="9">
        <v>108.28</v>
      </c>
      <c r="D56" s="9">
        <v>8.43</v>
      </c>
      <c r="E56" s="9">
        <v>99.85</v>
      </c>
    </row>
    <row r="57" spans="1:5" x14ac:dyDescent="0.75">
      <c r="A57" s="8">
        <v>44409</v>
      </c>
      <c r="B57" s="9">
        <v>98.99</v>
      </c>
      <c r="C57" s="9">
        <v>118.74</v>
      </c>
      <c r="D57" s="9">
        <v>8.94</v>
      </c>
      <c r="E57" s="9">
        <v>109.8</v>
      </c>
    </row>
    <row r="58" spans="1:5" x14ac:dyDescent="0.75">
      <c r="A58" s="8">
        <v>44440</v>
      </c>
      <c r="B58" s="9">
        <v>108.92</v>
      </c>
      <c r="C58" s="9">
        <v>137.87</v>
      </c>
      <c r="D58" s="9">
        <v>9.52</v>
      </c>
      <c r="E58" s="9">
        <v>128.35</v>
      </c>
    </row>
    <row r="59" spans="1:5" x14ac:dyDescent="0.75">
      <c r="A59" s="8">
        <v>44470</v>
      </c>
      <c r="B59" s="9">
        <v>118.82</v>
      </c>
      <c r="C59" s="9">
        <v>152.19999999999999</v>
      </c>
      <c r="D59" s="9">
        <v>10.28</v>
      </c>
      <c r="E59" s="9">
        <v>141.91999999999999</v>
      </c>
    </row>
    <row r="60" spans="1:5" x14ac:dyDescent="0.75">
      <c r="A60" s="8">
        <v>44501</v>
      </c>
      <c r="B60" s="9">
        <v>130.52000000000001</v>
      </c>
      <c r="C60" s="9">
        <v>175.73</v>
      </c>
      <c r="D60" s="9">
        <v>11.04</v>
      </c>
      <c r="E60" s="9">
        <v>164.68</v>
      </c>
    </row>
    <row r="61" spans="1:5" x14ac:dyDescent="0.75">
      <c r="A61" s="8">
        <v>44531</v>
      </c>
      <c r="B61" s="9">
        <v>149.75</v>
      </c>
      <c r="C61" s="9">
        <v>210.91</v>
      </c>
      <c r="D61" s="9">
        <v>12.36</v>
      </c>
      <c r="E61" s="9">
        <v>198.55</v>
      </c>
    </row>
    <row r="62" spans="1:5" x14ac:dyDescent="0.75">
      <c r="A62" s="8">
        <v>44562</v>
      </c>
      <c r="B62" s="9">
        <v>18.22</v>
      </c>
      <c r="C62" s="9">
        <v>14.68</v>
      </c>
      <c r="D62" s="9">
        <v>0.43</v>
      </c>
      <c r="E62" s="9">
        <v>14.25</v>
      </c>
    </row>
    <row r="63" spans="1:5" x14ac:dyDescent="0.75">
      <c r="A63" s="8">
        <v>44593</v>
      </c>
      <c r="B63" s="9">
        <v>28.57</v>
      </c>
      <c r="C63" s="9">
        <v>32.479999999999997</v>
      </c>
      <c r="D63" s="9">
        <v>0.97</v>
      </c>
      <c r="E63" s="9">
        <v>31.51</v>
      </c>
    </row>
    <row r="64" spans="1:5" x14ac:dyDescent="0.75">
      <c r="A64" s="8">
        <v>44621</v>
      </c>
      <c r="B64" s="9">
        <v>41.02</v>
      </c>
      <c r="C64" s="9">
        <v>55.49</v>
      </c>
      <c r="D64" s="9">
        <v>6.95</v>
      </c>
      <c r="E64" s="9">
        <v>48.54</v>
      </c>
    </row>
    <row r="65" spans="1:5" x14ac:dyDescent="0.75">
      <c r="A65" s="8">
        <v>44652</v>
      </c>
      <c r="B65" s="9">
        <v>58.56</v>
      </c>
      <c r="C65" s="9">
        <v>174.45</v>
      </c>
      <c r="D65" s="9">
        <v>7.84</v>
      </c>
      <c r="E65" s="9">
        <v>166.6</v>
      </c>
    </row>
    <row r="66" spans="1:5" x14ac:dyDescent="0.75">
      <c r="A66" s="8">
        <v>44682</v>
      </c>
      <c r="B66" s="9">
        <v>79.13</v>
      </c>
      <c r="C66" s="9">
        <v>199.12</v>
      </c>
      <c r="D66" s="9">
        <v>8.23</v>
      </c>
      <c r="E66" s="9">
        <v>190.88</v>
      </c>
    </row>
    <row r="67" spans="1:5" x14ac:dyDescent="0.75">
      <c r="A67" s="8">
        <v>44713</v>
      </c>
      <c r="B67" s="9">
        <v>90.87</v>
      </c>
      <c r="C67" s="9">
        <v>218.94</v>
      </c>
      <c r="D67" s="9">
        <v>8.82</v>
      </c>
      <c r="E67" s="9">
        <v>210.12</v>
      </c>
    </row>
    <row r="68" spans="1:5" x14ac:dyDescent="0.75">
      <c r="A68" s="8">
        <v>44743</v>
      </c>
      <c r="B68" s="9">
        <v>105.57</v>
      </c>
      <c r="C68" s="9">
        <v>241.56</v>
      </c>
      <c r="D68" s="9">
        <v>9.4600000000000009</v>
      </c>
      <c r="E68" s="9">
        <v>232.1</v>
      </c>
    </row>
    <row r="69" spans="1:5" x14ac:dyDescent="0.75">
      <c r="A69" s="8">
        <v>44774</v>
      </c>
      <c r="B69" s="9">
        <v>120.17</v>
      </c>
      <c r="C69" s="9">
        <v>264.08999999999997</v>
      </c>
      <c r="D69" s="9">
        <v>9.94</v>
      </c>
      <c r="E69" s="9">
        <v>254.15</v>
      </c>
    </row>
    <row r="70" spans="1:5" x14ac:dyDescent="0.75">
      <c r="A70" s="8">
        <v>44805</v>
      </c>
      <c r="B70" s="9">
        <v>132.19</v>
      </c>
      <c r="C70" s="9">
        <v>287.18</v>
      </c>
      <c r="D70" s="9">
        <v>10.34</v>
      </c>
      <c r="E70" s="9">
        <v>276.83999999999997</v>
      </c>
    </row>
    <row r="71" spans="1:5" x14ac:dyDescent="0.75">
      <c r="A71" s="8">
        <v>44835</v>
      </c>
      <c r="B71" s="9">
        <v>143.87</v>
      </c>
      <c r="C71" s="9">
        <v>309.23</v>
      </c>
      <c r="D71" s="9">
        <v>10.77</v>
      </c>
      <c r="E71" s="9">
        <v>298.45</v>
      </c>
    </row>
    <row r="72" spans="1:5" x14ac:dyDescent="0.75">
      <c r="A72" s="8">
        <v>44866</v>
      </c>
      <c r="B72" s="9">
        <v>156.93</v>
      </c>
      <c r="C72" s="9">
        <v>336.99</v>
      </c>
      <c r="D72" s="9">
        <v>11.16</v>
      </c>
      <c r="E72" s="9">
        <v>325.83</v>
      </c>
    </row>
    <row r="73" spans="1:5" x14ac:dyDescent="0.75">
      <c r="A73" s="8">
        <v>44896</v>
      </c>
      <c r="B73" s="9">
        <v>172.2637569</v>
      </c>
      <c r="C73" s="9">
        <v>353.33115170000002</v>
      </c>
      <c r="D73" s="9">
        <v>11.702755440000001</v>
      </c>
      <c r="E73" s="9">
        <v>341.62839630000002</v>
      </c>
    </row>
    <row r="74" spans="1:5" x14ac:dyDescent="0.75">
      <c r="A74" s="8">
        <v>44927</v>
      </c>
      <c r="B74" s="9">
        <v>22.29</v>
      </c>
      <c r="C74" s="9">
        <v>20.89</v>
      </c>
      <c r="D74" s="9">
        <v>0.39</v>
      </c>
      <c r="E74" s="9">
        <v>20.5</v>
      </c>
    </row>
    <row r="75" spans="1:5" x14ac:dyDescent="0.75">
      <c r="A75" s="8">
        <v>44958</v>
      </c>
      <c r="B75" s="9">
        <v>34.700000000000003</v>
      </c>
      <c r="C75" s="9">
        <v>43.36</v>
      </c>
      <c r="D75" s="9">
        <v>1.19</v>
      </c>
      <c r="E75" s="9">
        <v>42.17</v>
      </c>
    </row>
    <row r="76" spans="1:5" x14ac:dyDescent="0.75">
      <c r="A76" s="8">
        <v>44986</v>
      </c>
      <c r="B76" s="9">
        <v>49.92</v>
      </c>
      <c r="C76" s="9">
        <v>90.19</v>
      </c>
      <c r="D76" s="9">
        <v>7.87</v>
      </c>
      <c r="E76" s="9">
        <v>82.32</v>
      </c>
    </row>
    <row r="77" spans="1:5" x14ac:dyDescent="0.75">
      <c r="A77" s="8">
        <v>45017</v>
      </c>
      <c r="B77" s="9">
        <v>69.290000000000006</v>
      </c>
      <c r="C77" s="9">
        <v>222.44</v>
      </c>
      <c r="D77" s="9">
        <v>8.36</v>
      </c>
      <c r="E77" s="9">
        <v>214.09</v>
      </c>
    </row>
    <row r="78" spans="1:5" x14ac:dyDescent="0.75">
      <c r="A78" s="8">
        <v>45047</v>
      </c>
      <c r="B78" s="9">
        <v>92.33</v>
      </c>
      <c r="C78" s="9">
        <v>247</v>
      </c>
      <c r="D78" s="9">
        <v>8.8000000000000007</v>
      </c>
      <c r="E78" s="9">
        <v>238.2</v>
      </c>
    </row>
    <row r="79" spans="1:5" x14ac:dyDescent="0.75">
      <c r="A79" s="8">
        <v>45078</v>
      </c>
      <c r="B79" s="9">
        <v>107.67</v>
      </c>
      <c r="C79" s="9">
        <v>272.94</v>
      </c>
      <c r="D79" s="9">
        <v>9.25</v>
      </c>
      <c r="E79" s="9">
        <v>263.69</v>
      </c>
    </row>
    <row r="80" spans="1:5" x14ac:dyDescent="0.75">
      <c r="A80" s="8">
        <v>45108</v>
      </c>
      <c r="B80" s="9">
        <v>124.67</v>
      </c>
      <c r="C80" s="9">
        <v>298.06</v>
      </c>
      <c r="D80" s="9">
        <v>9.6999999999999993</v>
      </c>
      <c r="E80" s="9">
        <v>288.36</v>
      </c>
    </row>
    <row r="81" spans="1:7" x14ac:dyDescent="0.75">
      <c r="A81" s="8">
        <v>45139</v>
      </c>
      <c r="B81" s="9">
        <v>141.09</v>
      </c>
      <c r="C81" s="9">
        <v>323.37</v>
      </c>
      <c r="D81" s="9">
        <v>10.16</v>
      </c>
      <c r="E81" s="9">
        <v>313.20999999999998</v>
      </c>
    </row>
    <row r="82" spans="1:7" x14ac:dyDescent="0.75">
      <c r="A82" s="8">
        <v>45170</v>
      </c>
      <c r="B82" s="9">
        <v>154.9</v>
      </c>
      <c r="C82" s="9">
        <v>346.25</v>
      </c>
      <c r="D82" s="9">
        <v>10.62</v>
      </c>
      <c r="E82" s="9">
        <v>335.63</v>
      </c>
    </row>
    <row r="83" spans="1:7" x14ac:dyDescent="0.75">
      <c r="A83" s="8">
        <v>45200</v>
      </c>
      <c r="B83" s="9">
        <v>168.08</v>
      </c>
      <c r="C83" s="9">
        <v>367.44</v>
      </c>
      <c r="D83" s="9">
        <v>11.08</v>
      </c>
      <c r="E83" s="9">
        <v>356.36</v>
      </c>
    </row>
    <row r="84" spans="1:7" x14ac:dyDescent="0.75">
      <c r="A84" s="8">
        <v>45231</v>
      </c>
      <c r="B84" s="9">
        <v>183.29</v>
      </c>
      <c r="C84" s="9">
        <v>388.65</v>
      </c>
      <c r="D84" s="9">
        <v>11.61</v>
      </c>
      <c r="E84" s="9">
        <v>377.04</v>
      </c>
    </row>
    <row r="85" spans="1:7" x14ac:dyDescent="0.75">
      <c r="A85" s="8">
        <v>45261</v>
      </c>
      <c r="B85" s="9">
        <v>201.1861767</v>
      </c>
      <c r="C85" s="9">
        <v>420.85898659999998</v>
      </c>
      <c r="D85" s="9">
        <v>12.62398211</v>
      </c>
      <c r="E85" s="9">
        <v>408.2350045</v>
      </c>
    </row>
    <row r="86" spans="1:7" x14ac:dyDescent="0.75">
      <c r="A86" s="8">
        <v>45292</v>
      </c>
      <c r="B86" s="9">
        <v>28.3</v>
      </c>
      <c r="C86" s="9">
        <v>18.7</v>
      </c>
      <c r="D86" s="9">
        <v>0.5</v>
      </c>
      <c r="E86" s="9">
        <v>18.2</v>
      </c>
      <c r="G86" s="11"/>
    </row>
    <row r="87" spans="1:7" x14ac:dyDescent="0.75">
      <c r="A87" s="8">
        <v>45323</v>
      </c>
      <c r="B87" s="9">
        <v>43.3</v>
      </c>
      <c r="C87" s="9">
        <v>39.14</v>
      </c>
      <c r="D87" s="9">
        <v>1.48</v>
      </c>
      <c r="E87" s="9">
        <v>37.659999999999997</v>
      </c>
      <c r="G87" s="11"/>
    </row>
    <row r="88" spans="1:7" x14ac:dyDescent="0.75">
      <c r="A88" s="8">
        <v>45352</v>
      </c>
      <c r="B88" s="9">
        <v>62.86</v>
      </c>
      <c r="C88" s="9">
        <v>65.900000000000006</v>
      </c>
      <c r="D88" s="9">
        <v>8.59</v>
      </c>
      <c r="E88" s="9">
        <v>57.31</v>
      </c>
      <c r="G88" s="11"/>
    </row>
    <row r="89" spans="1:7" x14ac:dyDescent="0.75">
      <c r="A89" s="8">
        <v>45383</v>
      </c>
      <c r="B89" s="9">
        <v>97.97</v>
      </c>
      <c r="D89" s="9">
        <v>9.23</v>
      </c>
      <c r="G89" s="11"/>
    </row>
    <row r="90" spans="1:7" x14ac:dyDescent="0.75">
      <c r="A90" s="8">
        <v>45444</v>
      </c>
      <c r="B90" s="9">
        <v>138.4006</v>
      </c>
      <c r="C90" s="9">
        <v>183</v>
      </c>
      <c r="D90" s="9">
        <v>10.34</v>
      </c>
      <c r="E90" s="9">
        <v>172.66</v>
      </c>
      <c r="G90" s="11"/>
    </row>
    <row r="91" spans="1:7" x14ac:dyDescent="0.75">
      <c r="A91" s="8">
        <v>45474</v>
      </c>
      <c r="B91" s="9">
        <v>157.82</v>
      </c>
      <c r="C91" s="9">
        <v>202.73</v>
      </c>
      <c r="D91" s="9">
        <v>10.88</v>
      </c>
      <c r="E91" s="9">
        <v>191.85</v>
      </c>
      <c r="G91" s="11"/>
    </row>
    <row r="92" spans="1:7" x14ac:dyDescent="0.75">
      <c r="A92" s="8">
        <v>45505</v>
      </c>
      <c r="B92" s="9">
        <v>176.14</v>
      </c>
      <c r="C92" s="9">
        <v>224.14</v>
      </c>
      <c r="D92" s="9">
        <v>11.44</v>
      </c>
      <c r="E92" s="9">
        <v>212.7</v>
      </c>
      <c r="G92" s="11"/>
    </row>
    <row r="93" spans="1:7" x14ac:dyDescent="0.75">
      <c r="A93" s="8">
        <v>45536</v>
      </c>
      <c r="B93" s="9">
        <v>191.68</v>
      </c>
      <c r="C93" s="9">
        <v>249.22</v>
      </c>
      <c r="D93" s="9">
        <v>12.03</v>
      </c>
      <c r="E93" s="9">
        <v>237.19</v>
      </c>
      <c r="G93" s="11"/>
    </row>
    <row r="94" spans="1:7" x14ac:dyDescent="0.75">
      <c r="A94" s="8">
        <v>45566</v>
      </c>
      <c r="B94" s="9">
        <v>206.99</v>
      </c>
      <c r="C94" s="9">
        <v>275.35000000000002</v>
      </c>
      <c r="D94" s="9">
        <v>12.68</v>
      </c>
      <c r="E94" s="9">
        <v>262.67</v>
      </c>
      <c r="G94" s="11"/>
    </row>
    <row r="95" spans="1:7" x14ac:dyDescent="0.75">
      <c r="A95" s="8">
        <v>45597</v>
      </c>
      <c r="B95" s="9">
        <v>223.42</v>
      </c>
      <c r="C95" s="9">
        <v>303.18</v>
      </c>
      <c r="D95" s="9">
        <v>13.38</v>
      </c>
      <c r="E95" s="9">
        <v>289.8</v>
      </c>
      <c r="G95" s="11"/>
    </row>
    <row r="96" spans="1:7" x14ac:dyDescent="0.75">
      <c r="A96" s="8">
        <v>45627</v>
      </c>
      <c r="B96" s="9">
        <v>243.8</v>
      </c>
      <c r="E96" s="9">
        <v>335.8</v>
      </c>
      <c r="G96" s="11"/>
    </row>
    <row r="97" spans="1:7" x14ac:dyDescent="0.75">
      <c r="A97" s="8">
        <v>45658</v>
      </c>
      <c r="B97" s="9">
        <v>16.2</v>
      </c>
      <c r="C97" s="9">
        <v>4.62</v>
      </c>
      <c r="D97" s="9">
        <v>0.46</v>
      </c>
      <c r="E97" s="9">
        <v>21.9</v>
      </c>
      <c r="G97" s="11"/>
    </row>
    <row r="98" spans="1:7" x14ac:dyDescent="0.75">
      <c r="A98" s="8">
        <v>45689</v>
      </c>
      <c r="B98" s="9">
        <v>31</v>
      </c>
      <c r="E98" s="9">
        <v>46</v>
      </c>
      <c r="G98" s="11"/>
    </row>
    <row r="99" spans="1:7" x14ac:dyDescent="0.75">
      <c r="A99" s="8">
        <v>45717</v>
      </c>
      <c r="B99" s="9">
        <v>50</v>
      </c>
      <c r="E99" s="9">
        <v>70.599999999999994</v>
      </c>
      <c r="G99" s="11"/>
    </row>
    <row r="100" spans="1:7" x14ac:dyDescent="0.75">
      <c r="A100" s="8">
        <v>45748</v>
      </c>
      <c r="B100" s="9">
        <v>85.2</v>
      </c>
      <c r="E100" s="9">
        <v>168.3</v>
      </c>
      <c r="G100" s="11"/>
    </row>
    <row r="101" spans="1:7" x14ac:dyDescent="0.75">
      <c r="A101" s="8">
        <v>45778</v>
      </c>
      <c r="B101" s="9">
        <v>120.3</v>
      </c>
      <c r="E101" s="9">
        <v>194.36</v>
      </c>
      <c r="G101" s="11"/>
    </row>
    <row r="102" spans="1:7" x14ac:dyDescent="0.75">
      <c r="A102" s="8">
        <v>45870</v>
      </c>
      <c r="B102" s="9">
        <v>180.3</v>
      </c>
      <c r="C102" s="9">
        <v>210.11</v>
      </c>
      <c r="D102" s="9">
        <v>15.91</v>
      </c>
      <c r="E102" s="9">
        <v>194.2</v>
      </c>
      <c r="G102" s="11"/>
    </row>
    <row r="103" spans="1:7" x14ac:dyDescent="0.75">
      <c r="A103" s="8">
        <v>45901</v>
      </c>
      <c r="C103" s="9">
        <v>231.92</v>
      </c>
      <c r="D103" s="9">
        <v>16.82</v>
      </c>
      <c r="E103" s="9">
        <v>215.1</v>
      </c>
    </row>
    <row r="104" spans="1:7" x14ac:dyDescent="0.75">
      <c r="A104" s="8">
        <v>45931</v>
      </c>
      <c r="E104" s="9">
        <v>237.56</v>
      </c>
    </row>
    <row r="105" spans="1:7" x14ac:dyDescent="0.75">
      <c r="A105" s="8">
        <v>45962</v>
      </c>
      <c r="E105" s="9">
        <v>263.58</v>
      </c>
    </row>
    <row r="106" spans="1:7" x14ac:dyDescent="0.75">
      <c r="A106" s="8">
        <v>45992</v>
      </c>
      <c r="E106" s="10">
        <v>321.39999999999998</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ExcelFile xmlns:xsd="http://www.w3.org/2001/XMLSchema" xmlns:xsi="http://www.w3.org/2001/XMLSchema-instance">
  <MetadataLink>
    <MetadataLink>
      <LinkPosCol>1</LinkPosCol>
      <LinkPosRow>1</LinkPosRow>
      <MetaDataSeries>
        <MetadataSeries>
          <Code>SR142813617</Code>
          <DisplayName>Government Revenue: Domestic: Unaudited: ytd: Tax: Income: PPh Pasal 21 Personal Tax on Salaries</DisplayName>
          <EndCol>2</EndCol>
          <EndRow>106</EndRow>
          <InitCol>2</InitCol>
          <InitRow>1</InitRow>
          <Name>Government Revenue: Domestic: Unaudited: ytd: Tax: Income: PPh Pasal 21 Personal Tax on Salaries</Name>
          <Order>1</Order>
          <SeriesId>456545647</SeriesId>
        </MetadataSeries>
        <MetadataSeries>
          <Code>SR142813647</Code>
          <DisplayName>Government Revenue: Domestic: Unaudited: ytd: Tax: Income: PPh Pasal 25/29 Personal or Companies Monthly Tax Instalment Related To Retail Trade/Underpaid Income Tax</DisplayName>
          <EndCol>3</EndCol>
          <EndRow>106</EndRow>
          <InitCol>3</InitCol>
          <InitRow>1</InitRow>
          <Name>Government Revenue: Domestic: Unaudited: ytd: Tax: Income: PPh Pasal 25/29 Personal or Companies Monthly Tax Instalment Related To Retail Trade/Underpaid Income Tax</Name>
          <Order>2</Order>
          <SeriesId>456545657</SeriesId>
        </MetadataSeries>
        <MetadataSeries>
          <Code>SR142813657</Code>
          <DisplayName>Government Revenue: Domestic: Unaudited: ytd: Tax: Income: PPh Pasal 25/29 Personal or Companies Monthly Tax Instalment Related To Retail Trade/Underpaid Income Tax: Personal</DisplayName>
          <EndCol>4</EndCol>
          <EndRow>106</EndRow>
          <InitCol>4</InitCol>
          <InitRow>1</InitRow>
          <Name>Government Revenue: Domestic: Unaudited: ytd: Tax: Income: PPh Pasal 25/29 Personal or Companies Monthly Tax Instalment Related To Retail Trade/Underpaid Income Tax: Personal</Name>
          <Order>3</Order>
          <SeriesId>456545667</SeriesId>
        </MetadataSeries>
        <MetadataSeries>
          <Code>SR142813667</Code>
          <DisplayName>Government Revenue: Domestic: Unaudited: ytd: Tax: Income: PPh Pasal 25/29 Personal or Companies Monthly Tax Instalment Related To Retail Trade/Underpaid Income Tax: Organization</DisplayName>
          <EndCol>5</EndCol>
          <EndRow>106</EndRow>
          <InitCol>5</InitCol>
          <InitRow>1</InitRow>
          <Name>Government Revenue: Domestic: Unaudited: ytd: Tax: Income: PPh Pasal 25/29 Personal or Companies Monthly Tax Instalment Related To Retail Trade/Underpaid Income Tax: Organization</Name>
          <Order>4</Order>
          <SeriesId>456545677</SeriesId>
        </MetadataSeries>
      </MetaDataSeries>
      <SheetId>My Series</SheetId>
    </MetadataLink>
  </MetadataLink>
</MetadataExcelFile>
</file>

<file path=customXml/itemProps1.xml><?xml version="1.0" encoding="utf-8"?>
<ds:datastoreItem xmlns:ds="http://schemas.openxmlformats.org/officeDocument/2006/customXml" ds:itemID="{32AB0825-F585-4AC4-8877-4FF8755171A0}">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Alfan Mansur</cp:lastModifiedBy>
  <dcterms:created xsi:type="dcterms:W3CDTF">2026-01-30T08:11:34Z</dcterms:created>
  <dcterms:modified xsi:type="dcterms:W3CDTF">2026-02-01T15:32:47Z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DMCEIC_Metadata">
    <vt:lpwstr>{32AB0825-F585-4AC4-8877-4FF8755171A0}</vt:lpwstr>
  </property>
</Properties>
</file>