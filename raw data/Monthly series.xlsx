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fan\Documents\0. Gawean\0. DEN\17. Wealth effect saham\raw data\"/>
    </mc:Choice>
  </mc:AlternateContent>
  <xr:revisionPtr revIDLastSave="0" documentId="13_ncr:1_{FC1AE263-CBF6-4561-A06F-441491EA2AAE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My Se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fmgAAB+LCAAAAAAAAAPtXWtv4roW/StWpZHO+dAm4VVAnhxRoDPcKVA1zOvTyCQu9SVxuLbTln9/ZTsvIBTSdqR2TqSRBu+H49feXsspBv7zGPjgHjNOQvrxxDozTwCmbugRuvh4EonbU6t18o8Nh48u9q8RQwEWmHHwGPiUdx+59/HkTohV1zAeHh7OHupnIVsYNdO0jB/jK8e9wwE6SY3JYeNTQrlA1MUnNuytVk4YMRePPF3Fx5ORMzrrY+IOkEBjRNECs7OLiBOKOR9SQQTB/MTuD8YT/CigkavBhj3G0Nq5w1jwUtUZNux7wRgL5CGByrUE9hlGAvcH44uI+J5dO2udWWcWNLbkmd03PRXaMmeXyGPLARJ4RgJs18xa69S0TuvmzGx0G2a3cZ54pTbwCnHhYHZPXCVwBApWytO0rJpZN5v1FjQKjaCR67sN+xFjmAq1Gvqhf0UCIsqNiAmNokpsOAgfqB8ir8dHAVrgcrUKFmFobFWR1XmDaNka9YpXjja8JIyLH7Lt8Sct+ZlKfuox/mGf63H8ocs/7UaroyU/bajW3gQF2B6vgYMZwRwamRAa+UcaG22Pm9NzBQlp6QHP+cYV9bHvl44C5fmJodWdbO/zvWdE+KXdL0OGXcTFs1o+opws7kTJPCId+dT34tArN+y3yOcYGvkKbHhF6LJsMpu7rteo33ZOG6iJThvNJjrt1N3Wace8xdjCpjmfm9DQNdtQ1xNgKsahV3LJW9DYdLfhBD9M2Q2+Jxx7s9UV5nx2R5hYD9C69CRM5//Frhh6RMjGPtNbLqJL4uPnV6FSw8uquEaLF3g70Xy2XpUOAO1c2tNOEk3mb8Op78WT+qxw0lVeEV4y98eONuzLxeXcNNvt83anDg1Vhv0wooKt7RH1Qoo5QVKhRYlOGY4GqWLDUWXRXWedXHOFq9BFvn2DV9HcJy4Ib0Gxk7aL9zx33Q9pjJOcaLUKmUhifL8BlOMxRxyrdvacYW8CjQ1ZaqFaqSzANcMBiQKQqDIX3ZV8Sbfx6+TLZPp9smkYN1+igOltz5OIzjZN0zpV/2am2VX/lFNmAQeEr3ykR+0GC0R84CAfc+BE7B6vu+AGIx9saEbUw4/QyHsm1egZH3l2vVZrN61zs5bapapN2xla2IPP/+n1er0tU6lJbL9SIuyaaZkfLdWFnDRvoseg0C4eniH1ZP8lGmqeWrXNkUmU8JLh/0Vyju1xSMWdv4ZGJsq0akrHOZ2e443ilJEFocjfsUsVmf0Ac5eRldq4dx+c1xb66C5eRD6iiBY7xqOQqj6xMFrtdCOTFlgWdmhXu+WpcdBOnzJdgf2+/mwZwMuIKrCT66eRSYeMhUw2zbDhZ8SHj+IGB4gtuf0TGpsCqDYLtfpUm0xobEngiPeR70Y+Ejh5QLb376rgiO+a5bU6e3oxos3KcMQn+CFOoBOpyYpwxL+uPCSwpwWGDb/gtSWbq/5XWLTHeegSJJ+TRJ6hNdp3g01YtVwUbNnAK7QOI+EIJCL5qGdkCj102YwpBwKuMf1vhHxEwdDFDNGusl/ynOKGEF/7x3M9iYLrkFDBbatTg0ZWhFPmYSZBjf4Ar5FkHUby4QteywHKCrFc7ZBWotD75TULvcgV8e4zgUZekGjTAblm4T3xMDNsGC8ktWeqKdY7X7993qmb0MgLEws1NoMwwFwQF8wY8nBqqMctV9CDcI2ZhxaILhAFA+SjAEzwAjOy4RePl4NXiCERsmT5ZQLo6HjC6Ra/mbezhK0/6Q7bs0QTlze0+RwlGcg93rTeyGF7FLrlvaUgt3ud097pjWLu43h+tySwYJPJ7S4x/1UT0h+O+j1nqPSpEOrzhDh96IKalQtEl3kckVPlzOIMttc26YZATMTbkmXubNiZGqqOqZbNLtqdTrMDjUyktaoN6hMYDc4+D7qgTLCC+Rr0kcCLUMPIrMqsdt3qGZpjP3lEuYgGY0wjFgnwJX5S7jnxkMwQW2ChctYsXBFX9/m63epYbWhkIq0tCCKAqAc+hxHHd6Hvxd2OPeP+JB8LokpXtQQeoknfbqIA3YEZoosFytWTtHe9kitkC6dogPKVYxYH00Dm8o1yTquataHXDc3KctFuGKhVLIvqSbFKPzVmoYYNvztqqJbmrxwGj4Xwu5NukDsWmSYxG2PO0UL29HvIlnyF1FmbCY18MQmxQgLQscyKALwzAiCFmIHh4wq7QkGKrrbpAnnwCupAITt+DCeoNctwgi+HOMGHQ2Tgw2EWYFUsoGIBFQt4NRZwfLo4mhgMl3yFlwLxVNnNrLqgDuZyfYA1oguAlogC+f6CLvZSB6uAOtQq6vBy6qDT+/ujDtZh6vDlz6EOdbPVap+fP5s85EKbg9uQgWtGXA25teFfikz8/XL+kAv8z4gtEPgaRIGC5ZntX5pk/P1nsYgPb40+WL9yCL6QPmxZ/A760G63Kvrwh9GHVhn60CpDH64q+lDRh4o+/Fn0ofXq9KH1GvShXtGHV6APrfdJH2qH6cNVRR8q+vAvpg+1XzkEX0gftix+C33oNCv68AfQh0+YYoZ8nTie8xaiU4ZGTCsaUdGIika8fxrxdNp4EZ3I4MUrvY5oVHziFfhE533yifphPjGt+ETFJ/7FfKL+KwfpC/nElsXveR1R8Yk/lU+UeS1RN8vwieuKT1R8ouITfyafeKXXE3k+8SrvJ5oVn3g5n9B5/v3xicZhPnFd8YmKT/yL+UTjVw7SF/KJLYvX5hM1q2nVm03rvGIUb5VRpOMCHBG6SzB8dO/kfR36e06PXTAa/AD9MFiFnAh8gDg0a+dWs23JPHWQOBib/GDSO0QQtiyqbz9XDGGLIUwqhhAzBLMsQyibBraJwEXEOALDW5wDP8lXJdOvTGo84KA7FIBPaB6pPfev0Wfn09/7cH+zCPe33izurz+B+x3sRkzdIwLGiC2xOAj9EUcMOHgp3RB/DcSfS9DvD/E3n0D8xkvwfbLY1XYMRlRgRlWgIR+ou72w9zToL1lBEROon5qto5hA47xtNesHmcBwMDpzhl2wP7DT5L0f8efqKQ7wNJcfj+Nr53tw/CWhiLoE+Wl4PAHaVWh8VQcGT0FyiRneFiZv/tqAxYWofMfmtXF5o13rNGvVOf8bRuUCs7k8Sugj35ehKkm8BQZofQCCW42G2amZ1lFH9+P+wRuKPoAVOnh0D1aYAYHuIlpB9AqiVxD9N0H0J3LCNh7PNkjQowIxIM8lpfVnJM+OC8F2o1EvANvnbxRs1xpPHbJng3WDxMFDdidaRuBC8pHcaL0G3s6y8fuD260nD9jV1vGWT9etTrtzataOxdSt8/ZBTD3ud0FRFKo1dhSgTo/QZVV7YvQ5mLqxB1Or1mIu1Km4vICWLGhKAVSz+VMwOxcX8kR8QnxEwCxaIga+IT8SCPQ4OYTBNYJ4Wyi89SsHggsx+JbFixF4/EFeOZrGUdjzSt/nm7gOsI9F6StYE+9xeF/aV47ndKXfIJW7NLXHlw4WgtAFT/JmXgR7kQhvieiHfhTQzGRTCi98RJfTOddtsC+JLzCbRiqc+Xci7ibhdM6hsWWn/Xg/4iIMZvhRbmC6IB0vQxYgKcoKtnxwgARxNUKPpRrPM4Kpfo3W425yafeuYtt4wN2kWwUaOMAuCZB/7SMXc/nNq00BHOBbFPliexC3xQkyVz1OjfIyOAip6PmYiQHhbkgFoRH2UtNCZeazgYDSG8sLlenF5SMqQZS8Ijx7yo5m01oG0EUYLgsdUmXqM6X+esYQ5bchC9IGbPkWG6V1yC2RyJeIfOsi9pwi5TGFXC7jMcT3kyWoVmUvaUuBBupVvNd+VyevEXfxkC6uEF1E8o74xHpbDtVV5fq+ab2EY8sdORxR1488HGdieqvEMnhiiLxPDcdI3MU5oR/6vsZLMscZClhO5xyze20rL1DYEsFcHIxoEuj6mYWqTYeb8CGd512FRJErzGQKugh97zKkIq66QAF3+qYTNaJrfV81J12xXuGPJ4/c63LBCF2c2G52ZAGN2PSQD4/mydHg0T63CQuTLEZuQkd7ehkZP76FKaY63qUYVx7t75bpE2elzIX8q4BSgxZQHIRUpv9j5ycml94zus4TRHq0B9aZ5mh7f4NbHu3GNPMq9ZgCApzzN/YEmXMXPsg9V+e7lFltSpWV7Lf+VQ8dyZsyZSITvRPN5UTMsTe4yFe3o1MeOXyZ1ZoHnRlpKMz8eU6Bg1XIkJ+cNmztOklbDpml9YwjX5DUSudZif5JgC+ZOrf0fWhkRfiV+cnOZcsfquFdw3C94MzFxJV/YHfmhoEUGP3B+LsDjbw9lDuM/NEEv498Mmcof4JSqMuQrxwoiYQZWkmIlXolZY3G4x7Y8BvBD+V/yuIb4RHy1TlxSQRqQiPvnFRVvgnG1q8I2f8HhTJiiH5oAAA=</t>
        </r>
      </text>
    </comment>
  </commentList>
</comments>
</file>

<file path=xl/sharedStrings.xml><?xml version="1.0" encoding="utf-8"?>
<sst xmlns="http://schemas.openxmlformats.org/spreadsheetml/2006/main" count="86" uniqueCount="56">
  <si>
    <t>Retail Sales Survey: Real Retail Sales Index</t>
  </si>
  <si>
    <t>Retail Sales Survey: Retailer Expectation: Sales: Next 3 Months</t>
  </si>
  <si>
    <t>Retail Sales Survey: Retailer Expectation: Sales: Next 6 Months</t>
  </si>
  <si>
    <t>Retail Sales Survey: Retailer Expectation: General Price: Next 3 Months</t>
  </si>
  <si>
    <t>Retail Sales Survey: Retailer Expectation: General Price: Next 6 Months</t>
  </si>
  <si>
    <t>Indonesia Stock Exchange: Index: IDX Composite</t>
  </si>
  <si>
    <t>Interbank Call Money: 1 Day</t>
  </si>
  <si>
    <t>Region</t>
  </si>
  <si>
    <t>Indonesia</t>
  </si>
  <si>
    <t>Subnational</t>
  </si>
  <si>
    <t>Frequency</t>
  </si>
  <si>
    <t>Monthly</t>
  </si>
  <si>
    <t>Unit</t>
  </si>
  <si>
    <t>2010=100</t>
  </si>
  <si>
    <t>%</t>
  </si>
  <si>
    <t>NA</t>
  </si>
  <si>
    <t>% pa</t>
  </si>
  <si>
    <t>Source</t>
  </si>
  <si>
    <t>Bank Indonesia</t>
  </si>
  <si>
    <t>Exchange Data International Limited</t>
  </si>
  <si>
    <t>Status</t>
  </si>
  <si>
    <t>Active</t>
  </si>
  <si>
    <t>Series ID</t>
  </si>
  <si>
    <t>322851702 (DHJAAAA)</t>
  </si>
  <si>
    <t>322852502 (DHJAAAK)</t>
  </si>
  <si>
    <t>322852602 (DHJAAAL)</t>
  </si>
  <si>
    <t>322852902 (DHJAAAO)</t>
  </si>
  <si>
    <t>322853002 (DHJAAAP)</t>
  </si>
  <si>
    <t>14409201 (DMCA)</t>
  </si>
  <si>
    <t>SR Code</t>
  </si>
  <si>
    <t>SR5887893</t>
  </si>
  <si>
    <t>SR5887910</t>
  </si>
  <si>
    <t>SR5887886</t>
  </si>
  <si>
    <t>SR5887895</t>
  </si>
  <si>
    <t>SR5887885</t>
  </si>
  <si>
    <t>SR215135517</t>
  </si>
  <si>
    <t>SR4829525</t>
  </si>
  <si>
    <t>Trade Code</t>
  </si>
  <si>
    <t>Mnemonic</t>
  </si>
  <si>
    <t>Function Description</t>
  </si>
  <si>
    <t>First Obs. Date</t>
  </si>
  <si>
    <t>Last Obs. Date</t>
  </si>
  <si>
    <t>Last Update Time</t>
  </si>
  <si>
    <t>Series Remarks</t>
  </si>
  <si>
    <t>[COVID-19-IMPACT]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</si>
  <si>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</si>
  <si>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</si>
  <si>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</si>
  <si>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</si>
  <si>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</si>
  <si>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</si>
  <si>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</si>
  <si>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</si>
  <si>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</si>
  <si>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</si>
  <si>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No. of 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</si>
</sst>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5" x14ac:knownFonts="1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14" fontId="2" fillId="0" borderId="0" xfId="0" applyNumberFormat="1" applyFont="1"/>
    <xf numFmtId="0" fontId="2" fillId="0" borderId="0" xfId="0" applyFont="1" applyAlignment="1">
      <alignment wrapText="1"/>
    </xf>
    <xf numFmtId="2" fontId="2" fillId="0" borderId="0" xfId="0" applyNumberFormat="1" applyFont="1"/>
    <xf numFmtId="164" fontId="0" fillId="0" borderId="0" xfId="0" applyNumberFormat="1"/>
    <xf numFmtId="2" fontId="0" fillId="0" borderId="0" xfId="0" applyNumberForma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0"/>
  <sheetViews>
    <sheetView tabSelected="1" workbookViewId="0">
      <pane xSplit="1" ySplit="5" topLeftCell="B456" activePane="bottomRight" state="frozen"/>
      <selection pane="topRight" activeCell="B1" sqref="B1"/>
      <selection pane="bottomLeft" activeCell="A6" sqref="A6"/>
      <selection pane="bottomRight" activeCell="B387" sqref="B387:B470"/>
    </sheetView>
  </sheetViews>
  <sheetFormatPr defaultRowHeight="14.75" x14ac:dyDescent="0.75"/>
  <sheetData>
    <row r="1" spans="1:8" x14ac:dyDescent="0.75">
      <c r="A1" s="1" t="e">
        <f ca="1">CEIC.LINK("bccd43f9-4a5a-455a-93c6-90fee1e00bb0", "Series")</f>
        <v>#NAME?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75">
      <c r="A2" s="2" t="s">
        <v>7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</row>
    <row r="3" spans="1:8" x14ac:dyDescent="0.75">
      <c r="A3" s="2" t="s">
        <v>9</v>
      </c>
      <c r="B3" s="2"/>
      <c r="C3" s="2"/>
      <c r="D3" s="2"/>
      <c r="E3" s="2"/>
      <c r="F3" s="2"/>
      <c r="G3" s="2"/>
      <c r="H3" s="2"/>
    </row>
    <row r="4" spans="1:8" x14ac:dyDescent="0.75">
      <c r="A4" s="2" t="s">
        <v>10</v>
      </c>
      <c r="B4" s="2" t="s">
        <v>11</v>
      </c>
      <c r="C4" s="2" t="s">
        <v>11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11</v>
      </c>
    </row>
    <row r="5" spans="1:8" x14ac:dyDescent="0.75">
      <c r="A5" s="2" t="s">
        <v>12</v>
      </c>
      <c r="B5" s="2" t="s">
        <v>13</v>
      </c>
      <c r="C5" s="2" t="s">
        <v>14</v>
      </c>
      <c r="D5" s="2" t="s">
        <v>14</v>
      </c>
      <c r="E5" s="2" t="s">
        <v>14</v>
      </c>
      <c r="F5" s="2" t="s">
        <v>14</v>
      </c>
      <c r="G5" s="2" t="s">
        <v>15</v>
      </c>
      <c r="H5" s="2" t="s">
        <v>16</v>
      </c>
    </row>
    <row r="6" spans="1:8" x14ac:dyDescent="0.75">
      <c r="A6" s="2" t="s">
        <v>17</v>
      </c>
      <c r="B6" s="2" t="s">
        <v>18</v>
      </c>
      <c r="C6" s="2" t="s">
        <v>18</v>
      </c>
      <c r="D6" s="2" t="s">
        <v>18</v>
      </c>
      <c r="E6" s="2" t="s">
        <v>18</v>
      </c>
      <c r="F6" s="2" t="s">
        <v>18</v>
      </c>
      <c r="G6" s="2" t="s">
        <v>19</v>
      </c>
      <c r="H6" s="2" t="s">
        <v>18</v>
      </c>
    </row>
    <row r="7" spans="1:8" x14ac:dyDescent="0.75">
      <c r="A7" s="2" t="s">
        <v>20</v>
      </c>
      <c r="B7" s="2" t="s">
        <v>21</v>
      </c>
      <c r="C7" s="2" t="s">
        <v>21</v>
      </c>
      <c r="D7" s="2" t="s">
        <v>21</v>
      </c>
      <c r="E7" s="2" t="s">
        <v>21</v>
      </c>
      <c r="F7" s="2" t="s">
        <v>21</v>
      </c>
      <c r="G7" s="2" t="s">
        <v>21</v>
      </c>
      <c r="H7" s="2" t="s">
        <v>21</v>
      </c>
    </row>
    <row r="8" spans="1:8" x14ac:dyDescent="0.75">
      <c r="A8" s="3" t="s">
        <v>22</v>
      </c>
      <c r="B8" s="3" t="s">
        <v>23</v>
      </c>
      <c r="C8" s="3" t="s">
        <v>24</v>
      </c>
      <c r="D8" s="3" t="s">
        <v>25</v>
      </c>
      <c r="E8" s="3" t="s">
        <v>26</v>
      </c>
      <c r="F8" s="3" t="s">
        <v>27</v>
      </c>
      <c r="G8" s="3">
        <v>527158177</v>
      </c>
      <c r="H8" s="3" t="s">
        <v>28</v>
      </c>
    </row>
    <row r="9" spans="1:8" x14ac:dyDescent="0.75">
      <c r="A9" s="2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35</v>
      </c>
      <c r="H9" s="2" t="s">
        <v>36</v>
      </c>
    </row>
    <row r="10" spans="1:8" x14ac:dyDescent="0.75">
      <c r="A10" s="2" t="s">
        <v>37</v>
      </c>
      <c r="B10" s="2"/>
      <c r="C10" s="2"/>
      <c r="D10" s="2"/>
      <c r="E10" s="2"/>
      <c r="F10" s="2"/>
      <c r="G10" s="2"/>
      <c r="H10" s="2"/>
    </row>
    <row r="11" spans="1:8" x14ac:dyDescent="0.75">
      <c r="A11" s="2" t="s">
        <v>38</v>
      </c>
      <c r="B11" s="2"/>
      <c r="C11" s="2"/>
      <c r="D11" s="2"/>
      <c r="E11" s="2"/>
      <c r="F11" s="2"/>
      <c r="G11" s="2"/>
      <c r="H11" s="2"/>
    </row>
    <row r="12" spans="1:8" x14ac:dyDescent="0.75">
      <c r="A12" s="2" t="s">
        <v>39</v>
      </c>
      <c r="B12" s="2"/>
      <c r="C12" s="2"/>
      <c r="D12" s="2"/>
      <c r="E12" s="2"/>
      <c r="F12" s="2"/>
      <c r="G12" s="2"/>
      <c r="H12" s="2"/>
    </row>
    <row r="13" spans="1:8" x14ac:dyDescent="0.75">
      <c r="A13" s="2" t="s">
        <v>40</v>
      </c>
      <c r="B13" s="4">
        <v>40179</v>
      </c>
      <c r="C13" s="4">
        <v>40179</v>
      </c>
      <c r="D13" s="4">
        <v>40179</v>
      </c>
      <c r="E13" s="4">
        <v>40179</v>
      </c>
      <c r="F13" s="4">
        <v>40179</v>
      </c>
      <c r="G13" s="4">
        <v>41426</v>
      </c>
      <c r="H13" s="4">
        <v>32540</v>
      </c>
    </row>
    <row r="14" spans="1:8" x14ac:dyDescent="0.75">
      <c r="A14" s="2" t="s">
        <v>41</v>
      </c>
      <c r="B14" s="4">
        <v>45992</v>
      </c>
      <c r="C14" s="4">
        <v>45962</v>
      </c>
      <c r="D14" s="4">
        <v>45962</v>
      </c>
      <c r="E14" s="4">
        <v>45962</v>
      </c>
      <c r="F14" s="4">
        <v>45962</v>
      </c>
      <c r="G14" s="4">
        <v>45992</v>
      </c>
      <c r="H14" s="4">
        <v>45992</v>
      </c>
    </row>
    <row r="15" spans="1:8" x14ac:dyDescent="0.75">
      <c r="A15" s="2" t="s">
        <v>42</v>
      </c>
      <c r="B15" s="5">
        <v>46034</v>
      </c>
      <c r="C15" s="5">
        <v>46034</v>
      </c>
      <c r="D15" s="5">
        <v>46034</v>
      </c>
      <c r="E15" s="5">
        <v>46034</v>
      </c>
      <c r="F15" s="5">
        <v>46034</v>
      </c>
      <c r="G15" s="5">
        <v>46024</v>
      </c>
      <c r="H15" s="5">
        <v>46024</v>
      </c>
    </row>
    <row r="16" spans="1:8" ht="44.25" x14ac:dyDescent="0.75">
      <c r="A16" s="6" t="s">
        <v>43</v>
      </c>
      <c r="B16" s="6" t="s">
        <v>44</v>
      </c>
      <c r="C16" s="6" t="s">
        <v>44</v>
      </c>
      <c r="D16" s="6" t="s">
        <v>44</v>
      </c>
      <c r="E16" s="6" t="s">
        <v>44</v>
      </c>
      <c r="F16" s="6" t="s">
        <v>44</v>
      </c>
      <c r="G16" s="6"/>
      <c r="H16" s="6"/>
    </row>
    <row r="17" spans="1:8" x14ac:dyDescent="0.75">
      <c r="A17" s="3" t="s">
        <v>45</v>
      </c>
      <c r="B17" s="3"/>
      <c r="C17" s="3"/>
      <c r="D17" s="3"/>
      <c r="E17" s="3"/>
      <c r="F17" s="3"/>
      <c r="G17" s="3"/>
      <c r="H17" s="3"/>
    </row>
    <row r="18" spans="1:8" x14ac:dyDescent="0.75">
      <c r="A18" s="7" t="s">
        <v>46</v>
      </c>
      <c r="B18" s="7">
        <v>183.49682890015629</v>
      </c>
      <c r="C18" s="7">
        <v>136.72543114219889</v>
      </c>
      <c r="D18" s="7">
        <v>138.73999070246069</v>
      </c>
      <c r="E18" s="7">
        <v>142.85581722047121</v>
      </c>
      <c r="F18" s="7">
        <v>142.1144963464921</v>
      </c>
      <c r="G18" s="7">
        <v>6012.8527615894036</v>
      </c>
      <c r="H18" s="7">
        <v>10.303700925507901</v>
      </c>
    </row>
    <row r="19" spans="1:8" x14ac:dyDescent="0.75">
      <c r="A19" s="7" t="s">
        <v>47</v>
      </c>
      <c r="B19" s="7">
        <v>1836.830635647013</v>
      </c>
      <c r="C19" s="7">
        <v>156.50979755789069</v>
      </c>
      <c r="D19" s="7">
        <v>187.64963279789259</v>
      </c>
      <c r="E19" s="7">
        <v>173.62730260160089</v>
      </c>
      <c r="F19" s="7">
        <v>260.35951411734789</v>
      </c>
      <c r="G19" s="7">
        <v>1002293.0084404229</v>
      </c>
      <c r="H19" s="7">
        <v>126.01229909467681</v>
      </c>
    </row>
    <row r="20" spans="1:8" x14ac:dyDescent="0.75">
      <c r="A20" s="7" t="s">
        <v>48</v>
      </c>
      <c r="B20" s="7">
        <v>42.858262163170039</v>
      </c>
      <c r="C20" s="7">
        <v>12.510387586237719</v>
      </c>
      <c r="D20" s="7">
        <v>13.698526665225449</v>
      </c>
      <c r="E20" s="7">
        <v>13.17677132690709</v>
      </c>
      <c r="F20" s="7">
        <v>16.135659705055382</v>
      </c>
      <c r="G20" s="7">
        <v>1001.145847736694</v>
      </c>
      <c r="H20" s="7">
        <v>11.22551999217305</v>
      </c>
    </row>
    <row r="21" spans="1:8" x14ac:dyDescent="0.75">
      <c r="A21" s="7" t="s">
        <v>49</v>
      </c>
      <c r="B21" s="7">
        <v>-0.76876905916840876</v>
      </c>
      <c r="C21" s="7">
        <v>0.29503499636901731</v>
      </c>
      <c r="D21" s="7">
        <v>0.1664895509853864</v>
      </c>
      <c r="E21" s="7">
        <v>0.29732955159753549</v>
      </c>
      <c r="F21" s="7">
        <v>0.41031025709445179</v>
      </c>
      <c r="G21" s="7">
        <v>0.1202282865096552</v>
      </c>
      <c r="H21" s="7">
        <v>3.8153464697885968</v>
      </c>
    </row>
    <row r="22" spans="1:8" x14ac:dyDescent="0.75">
      <c r="A22" s="7" t="s">
        <v>50</v>
      </c>
      <c r="B22" s="7">
        <v>-0.66819591326482097</v>
      </c>
      <c r="C22" s="7">
        <v>-0.79361936088146834</v>
      </c>
      <c r="D22" s="7">
        <v>-0.61343468404372592</v>
      </c>
      <c r="E22" s="7">
        <v>-0.45186313664725741</v>
      </c>
      <c r="F22" s="7">
        <v>-0.85176181238951942</v>
      </c>
      <c r="G22" s="7">
        <v>-0.70240379395475294</v>
      </c>
      <c r="H22" s="7">
        <v>16.17644461501958</v>
      </c>
    </row>
    <row r="23" spans="1:8" x14ac:dyDescent="0.75">
      <c r="A23" s="7" t="s">
        <v>51</v>
      </c>
      <c r="B23" s="7">
        <v>0.23356404805496639</v>
      </c>
      <c r="C23" s="7">
        <v>9.1500077796255089E-2</v>
      </c>
      <c r="D23" s="7">
        <v>9.8735242779445329E-2</v>
      </c>
      <c r="E23" s="7">
        <v>9.2238255209245071E-2</v>
      </c>
      <c r="F23" s="7">
        <v>0.11353985778983949</v>
      </c>
      <c r="G23" s="7">
        <v>0.16650097506662651</v>
      </c>
      <c r="H23" s="7">
        <v>1.089464850865681</v>
      </c>
    </row>
    <row r="24" spans="1:8" x14ac:dyDescent="0.75">
      <c r="A24" s="7" t="s">
        <v>52</v>
      </c>
      <c r="B24" s="7">
        <v>90.6</v>
      </c>
      <c r="C24" s="7">
        <v>112.45791246</v>
      </c>
      <c r="D24" s="7">
        <v>109.5890411</v>
      </c>
      <c r="E24" s="7">
        <v>112.70754947</v>
      </c>
      <c r="F24" s="7">
        <v>110.97754273</v>
      </c>
      <c r="G24" s="7">
        <v>4195.09</v>
      </c>
      <c r="H24" s="7">
        <v>0.40864</v>
      </c>
    </row>
    <row r="25" spans="1:8" x14ac:dyDescent="0.75">
      <c r="A25" s="7" t="s">
        <v>53</v>
      </c>
      <c r="B25" s="7">
        <v>249.78630355999999</v>
      </c>
      <c r="C25" s="7">
        <v>167.71356784</v>
      </c>
      <c r="D25" s="7">
        <v>170.6940874</v>
      </c>
      <c r="E25" s="7">
        <v>179.01233023</v>
      </c>
      <c r="F25" s="7">
        <v>177.81044706</v>
      </c>
      <c r="G25" s="7">
        <v>8646.9380000000001</v>
      </c>
      <c r="H25" s="7">
        <v>81.010000000000005</v>
      </c>
    </row>
    <row r="26" spans="1:8" x14ac:dyDescent="0.75">
      <c r="A26" s="7" t="s">
        <v>54</v>
      </c>
      <c r="B26" s="7">
        <v>198.39793553499999</v>
      </c>
      <c r="C26" s="7">
        <v>135.15406161999999</v>
      </c>
      <c r="D26" s="7">
        <v>137.43589743999999</v>
      </c>
      <c r="E26" s="7">
        <v>140.36468382000001</v>
      </c>
      <c r="F26" s="7">
        <v>137.87857074999999</v>
      </c>
      <c r="G26" s="7">
        <v>5995.62</v>
      </c>
      <c r="H26" s="7">
        <v>6.2885099999999996</v>
      </c>
    </row>
    <row r="27" spans="1:8" x14ac:dyDescent="0.75">
      <c r="A27" s="2" t="s">
        <v>55</v>
      </c>
      <c r="B27" s="2">
        <v>192</v>
      </c>
      <c r="C27" s="2">
        <v>191</v>
      </c>
      <c r="D27" s="2">
        <v>191</v>
      </c>
      <c r="E27" s="2">
        <v>191</v>
      </c>
      <c r="F27" s="2">
        <v>191</v>
      </c>
      <c r="G27" s="2">
        <v>151</v>
      </c>
      <c r="H27" s="2">
        <v>443</v>
      </c>
    </row>
    <row r="28" spans="1:8" x14ac:dyDescent="0.75">
      <c r="A28" s="8">
        <v>32540</v>
      </c>
      <c r="H28" s="9">
        <v>13.52</v>
      </c>
    </row>
    <row r="29" spans="1:8" x14ac:dyDescent="0.75">
      <c r="A29" s="8">
        <v>32568</v>
      </c>
      <c r="H29" s="9">
        <v>13.24</v>
      </c>
    </row>
    <row r="30" spans="1:8" x14ac:dyDescent="0.75">
      <c r="A30" s="8">
        <v>32599</v>
      </c>
      <c r="H30" s="9">
        <v>12.91</v>
      </c>
    </row>
    <row r="31" spans="1:8" x14ac:dyDescent="0.75">
      <c r="A31" s="8">
        <v>32629</v>
      </c>
      <c r="H31" s="9">
        <v>11.08</v>
      </c>
    </row>
    <row r="32" spans="1:8" x14ac:dyDescent="0.75">
      <c r="A32" s="8">
        <v>32660</v>
      </c>
      <c r="H32" s="9">
        <v>12.41</v>
      </c>
    </row>
    <row r="33" spans="1:8" x14ac:dyDescent="0.75">
      <c r="A33" s="8">
        <v>32690</v>
      </c>
      <c r="H33" s="9">
        <v>11.84</v>
      </c>
    </row>
    <row r="34" spans="1:8" x14ac:dyDescent="0.75">
      <c r="A34" s="8">
        <v>32721</v>
      </c>
      <c r="H34" s="9">
        <v>11.67</v>
      </c>
    </row>
    <row r="35" spans="1:8" x14ac:dyDescent="0.75">
      <c r="A35" s="8">
        <v>32752</v>
      </c>
      <c r="H35" s="9">
        <v>11.91</v>
      </c>
    </row>
    <row r="36" spans="1:8" x14ac:dyDescent="0.75">
      <c r="A36" s="8">
        <v>32782</v>
      </c>
      <c r="H36" s="9">
        <v>11.89</v>
      </c>
    </row>
    <row r="37" spans="1:8" x14ac:dyDescent="0.75">
      <c r="A37" s="8">
        <v>32813</v>
      </c>
      <c r="H37" s="9">
        <v>11.8</v>
      </c>
    </row>
    <row r="38" spans="1:8" x14ac:dyDescent="0.75">
      <c r="A38" s="8">
        <v>32843</v>
      </c>
      <c r="H38" s="9">
        <v>12.02</v>
      </c>
    </row>
    <row r="39" spans="1:8" x14ac:dyDescent="0.75">
      <c r="A39" s="8">
        <v>32874</v>
      </c>
      <c r="H39" s="9">
        <v>9.74</v>
      </c>
    </row>
    <row r="40" spans="1:8" x14ac:dyDescent="0.75">
      <c r="A40" s="8">
        <v>32905</v>
      </c>
      <c r="H40" s="9">
        <v>9.7200000000000006</v>
      </c>
    </row>
    <row r="41" spans="1:8" x14ac:dyDescent="0.75">
      <c r="A41" s="8">
        <v>32933</v>
      </c>
      <c r="H41" s="9">
        <v>10.119999999999999</v>
      </c>
    </row>
    <row r="42" spans="1:8" x14ac:dyDescent="0.75">
      <c r="A42" s="8">
        <v>32964</v>
      </c>
      <c r="H42" s="9">
        <v>11.16</v>
      </c>
    </row>
    <row r="43" spans="1:8" x14ac:dyDescent="0.75">
      <c r="A43" s="8">
        <v>32994</v>
      </c>
      <c r="H43" s="9">
        <v>10.71</v>
      </c>
    </row>
    <row r="44" spans="1:8" x14ac:dyDescent="0.75">
      <c r="A44" s="8">
        <v>33025</v>
      </c>
      <c r="H44" s="9">
        <v>14.5</v>
      </c>
    </row>
    <row r="45" spans="1:8" x14ac:dyDescent="0.75">
      <c r="A45" s="8">
        <v>33055</v>
      </c>
      <c r="H45" s="9">
        <v>16.87</v>
      </c>
    </row>
    <row r="46" spans="1:8" x14ac:dyDescent="0.75">
      <c r="A46" s="8">
        <v>33086</v>
      </c>
      <c r="H46" s="9">
        <v>16.440000000000001</v>
      </c>
    </row>
    <row r="47" spans="1:8" x14ac:dyDescent="0.75">
      <c r="A47" s="8">
        <v>33117</v>
      </c>
      <c r="H47" s="9">
        <v>13.67</v>
      </c>
    </row>
    <row r="48" spans="1:8" x14ac:dyDescent="0.75">
      <c r="A48" s="8">
        <v>33147</v>
      </c>
      <c r="H48" s="9">
        <v>17.05</v>
      </c>
    </row>
    <row r="49" spans="1:8" x14ac:dyDescent="0.75">
      <c r="A49" s="8">
        <v>33178</v>
      </c>
      <c r="H49" s="9">
        <v>15.58</v>
      </c>
    </row>
    <row r="50" spans="1:8" x14ac:dyDescent="0.75">
      <c r="A50" s="8">
        <v>33208</v>
      </c>
      <c r="H50" s="9">
        <v>21.2</v>
      </c>
    </row>
    <row r="51" spans="1:8" x14ac:dyDescent="0.75">
      <c r="A51" s="8">
        <v>33239</v>
      </c>
      <c r="H51" s="9">
        <v>17.61</v>
      </c>
    </row>
    <row r="52" spans="1:8" x14ac:dyDescent="0.75">
      <c r="A52" s="8">
        <v>33270</v>
      </c>
      <c r="H52" s="9">
        <v>20.38</v>
      </c>
    </row>
    <row r="53" spans="1:8" x14ac:dyDescent="0.75">
      <c r="A53" s="8">
        <v>33298</v>
      </c>
      <c r="H53" s="9">
        <v>26.9</v>
      </c>
    </row>
    <row r="54" spans="1:8" x14ac:dyDescent="0.75">
      <c r="A54" s="8">
        <v>33329</v>
      </c>
      <c r="H54" s="9">
        <v>17.73</v>
      </c>
    </row>
    <row r="55" spans="1:8" x14ac:dyDescent="0.75">
      <c r="A55" s="8">
        <v>33359</v>
      </c>
      <c r="H55" s="9">
        <v>11.28</v>
      </c>
    </row>
    <row r="56" spans="1:8" x14ac:dyDescent="0.75">
      <c r="A56" s="8">
        <v>33390</v>
      </c>
      <c r="H56" s="9">
        <v>11.29</v>
      </c>
    </row>
    <row r="57" spans="1:8" x14ac:dyDescent="0.75">
      <c r="A57" s="8">
        <v>33420</v>
      </c>
      <c r="H57" s="9">
        <v>11.51</v>
      </c>
    </row>
    <row r="58" spans="1:8" x14ac:dyDescent="0.75">
      <c r="A58" s="8">
        <v>33451</v>
      </c>
      <c r="H58" s="9">
        <v>12.16</v>
      </c>
    </row>
    <row r="59" spans="1:8" x14ac:dyDescent="0.75">
      <c r="A59" s="8">
        <v>33482</v>
      </c>
      <c r="H59" s="9">
        <v>12.72</v>
      </c>
    </row>
    <row r="60" spans="1:8" x14ac:dyDescent="0.75">
      <c r="A60" s="8">
        <v>33512</v>
      </c>
      <c r="H60" s="9">
        <v>12.2</v>
      </c>
    </row>
    <row r="61" spans="1:8" x14ac:dyDescent="0.75">
      <c r="A61" s="8">
        <v>33543</v>
      </c>
      <c r="H61" s="9">
        <v>12.68</v>
      </c>
    </row>
    <row r="62" spans="1:8" x14ac:dyDescent="0.75">
      <c r="A62" s="8">
        <v>33573</v>
      </c>
      <c r="H62" s="9">
        <v>12.43</v>
      </c>
    </row>
    <row r="63" spans="1:8" x14ac:dyDescent="0.75">
      <c r="A63" s="8">
        <v>33604</v>
      </c>
      <c r="H63" s="9">
        <v>12.88</v>
      </c>
    </row>
    <row r="64" spans="1:8" x14ac:dyDescent="0.75">
      <c r="A64" s="8">
        <v>33635</v>
      </c>
      <c r="H64" s="9">
        <v>12.58</v>
      </c>
    </row>
    <row r="65" spans="1:8" x14ac:dyDescent="0.75">
      <c r="A65" s="8">
        <v>33664</v>
      </c>
      <c r="H65" s="9">
        <v>12.84</v>
      </c>
    </row>
    <row r="66" spans="1:8" x14ac:dyDescent="0.75">
      <c r="A66" s="8">
        <v>33695</v>
      </c>
      <c r="H66" s="9">
        <v>12.16</v>
      </c>
    </row>
    <row r="67" spans="1:8" x14ac:dyDescent="0.75">
      <c r="A67" s="8">
        <v>33725</v>
      </c>
      <c r="H67" s="9">
        <v>11.9</v>
      </c>
    </row>
    <row r="68" spans="1:8" x14ac:dyDescent="0.75">
      <c r="A68" s="8">
        <v>33756</v>
      </c>
      <c r="H68" s="9">
        <v>11.87</v>
      </c>
    </row>
    <row r="69" spans="1:8" x14ac:dyDescent="0.75">
      <c r="A69" s="8">
        <v>33786</v>
      </c>
      <c r="H69" s="9">
        <v>12.06</v>
      </c>
    </row>
    <row r="70" spans="1:8" x14ac:dyDescent="0.75">
      <c r="A70" s="8">
        <v>33817</v>
      </c>
      <c r="H70" s="9">
        <v>11.52</v>
      </c>
    </row>
    <row r="71" spans="1:8" x14ac:dyDescent="0.75">
      <c r="A71" s="8">
        <v>33848</v>
      </c>
      <c r="H71" s="9">
        <v>11.37</v>
      </c>
    </row>
    <row r="72" spans="1:8" x14ac:dyDescent="0.75">
      <c r="A72" s="8">
        <v>33878</v>
      </c>
      <c r="H72" s="9">
        <v>11.65</v>
      </c>
    </row>
    <row r="73" spans="1:8" x14ac:dyDescent="0.75">
      <c r="A73" s="8">
        <v>33909</v>
      </c>
      <c r="H73" s="9">
        <v>11.4</v>
      </c>
    </row>
    <row r="74" spans="1:8" x14ac:dyDescent="0.75">
      <c r="A74" s="8">
        <v>33939</v>
      </c>
      <c r="H74" s="9">
        <v>11.17</v>
      </c>
    </row>
    <row r="75" spans="1:8" x14ac:dyDescent="0.75">
      <c r="A75" s="8">
        <v>33970</v>
      </c>
      <c r="H75" s="9">
        <v>11.49</v>
      </c>
    </row>
    <row r="76" spans="1:8" x14ac:dyDescent="0.75">
      <c r="A76" s="8">
        <v>34001</v>
      </c>
      <c r="H76" s="9">
        <v>10.78</v>
      </c>
    </row>
    <row r="77" spans="1:8" x14ac:dyDescent="0.75">
      <c r="A77" s="8">
        <v>34029</v>
      </c>
      <c r="H77" s="9">
        <v>11.35</v>
      </c>
    </row>
    <row r="78" spans="1:8" x14ac:dyDescent="0.75">
      <c r="A78" s="8">
        <v>34060</v>
      </c>
      <c r="H78" s="9">
        <v>10.72</v>
      </c>
    </row>
    <row r="79" spans="1:8" x14ac:dyDescent="0.75">
      <c r="A79" s="8">
        <v>34090</v>
      </c>
      <c r="H79" s="9">
        <v>11.04</v>
      </c>
    </row>
    <row r="80" spans="1:8" x14ac:dyDescent="0.75">
      <c r="A80" s="8">
        <v>34121</v>
      </c>
      <c r="H80" s="9">
        <v>8.17</v>
      </c>
    </row>
    <row r="81" spans="1:8" x14ac:dyDescent="0.75">
      <c r="A81" s="8">
        <v>34151</v>
      </c>
      <c r="H81" s="9">
        <v>6.68</v>
      </c>
    </row>
    <row r="82" spans="1:8" x14ac:dyDescent="0.75">
      <c r="A82" s="8">
        <v>34182</v>
      </c>
      <c r="H82" s="9">
        <v>5.68</v>
      </c>
    </row>
    <row r="83" spans="1:8" x14ac:dyDescent="0.75">
      <c r="A83" s="8">
        <v>34213</v>
      </c>
      <c r="H83" s="9">
        <v>7.7</v>
      </c>
    </row>
    <row r="84" spans="1:8" x14ac:dyDescent="0.75">
      <c r="A84" s="8">
        <v>34243</v>
      </c>
      <c r="H84" s="9">
        <v>7.06</v>
      </c>
    </row>
    <row r="85" spans="1:8" x14ac:dyDescent="0.75">
      <c r="A85" s="8">
        <v>34274</v>
      </c>
      <c r="H85" s="9">
        <v>7.09</v>
      </c>
    </row>
    <row r="86" spans="1:8" x14ac:dyDescent="0.75">
      <c r="A86" s="8">
        <v>34304</v>
      </c>
      <c r="H86" s="9">
        <v>6.13</v>
      </c>
    </row>
    <row r="87" spans="1:8" x14ac:dyDescent="0.75">
      <c r="A87" s="8">
        <v>34335</v>
      </c>
      <c r="H87" s="9">
        <v>7.13</v>
      </c>
    </row>
    <row r="88" spans="1:8" x14ac:dyDescent="0.75">
      <c r="A88" s="8">
        <v>34366</v>
      </c>
      <c r="H88" s="9">
        <v>7.57</v>
      </c>
    </row>
    <row r="89" spans="1:8" x14ac:dyDescent="0.75">
      <c r="A89" s="8">
        <v>34394</v>
      </c>
      <c r="H89" s="9">
        <v>7.07</v>
      </c>
    </row>
    <row r="90" spans="1:8" x14ac:dyDescent="0.75">
      <c r="A90" s="8">
        <v>34425</v>
      </c>
      <c r="H90" s="9">
        <v>9.4600000000000009</v>
      </c>
    </row>
    <row r="91" spans="1:8" x14ac:dyDescent="0.75">
      <c r="A91" s="8">
        <v>34455</v>
      </c>
      <c r="H91" s="9">
        <v>9.14</v>
      </c>
    </row>
    <row r="92" spans="1:8" x14ac:dyDescent="0.75">
      <c r="A92" s="8">
        <v>34486</v>
      </c>
      <c r="H92" s="9">
        <v>9.33</v>
      </c>
    </row>
    <row r="93" spans="1:8" x14ac:dyDescent="0.75">
      <c r="A93" s="8">
        <v>34516</v>
      </c>
      <c r="H93" s="9">
        <v>10.58</v>
      </c>
    </row>
    <row r="94" spans="1:8" x14ac:dyDescent="0.75">
      <c r="A94" s="8">
        <v>34547</v>
      </c>
      <c r="H94" s="9">
        <v>10.63</v>
      </c>
    </row>
    <row r="95" spans="1:8" x14ac:dyDescent="0.75">
      <c r="A95" s="8">
        <v>34578</v>
      </c>
      <c r="H95" s="9">
        <v>11.06</v>
      </c>
    </row>
    <row r="96" spans="1:8" x14ac:dyDescent="0.75">
      <c r="A96" s="8">
        <v>34608</v>
      </c>
      <c r="H96" s="9">
        <v>11.48</v>
      </c>
    </row>
    <row r="97" spans="1:8" x14ac:dyDescent="0.75">
      <c r="A97" s="8">
        <v>34639</v>
      </c>
      <c r="H97" s="9">
        <v>11.45</v>
      </c>
    </row>
    <row r="98" spans="1:8" x14ac:dyDescent="0.75">
      <c r="A98" s="8">
        <v>34669</v>
      </c>
      <c r="H98" s="9">
        <v>11.93</v>
      </c>
    </row>
    <row r="99" spans="1:8" x14ac:dyDescent="0.75">
      <c r="A99" s="8">
        <v>34700</v>
      </c>
      <c r="H99" s="9">
        <v>11.78</v>
      </c>
    </row>
    <row r="100" spans="1:8" x14ac:dyDescent="0.75">
      <c r="A100" s="8">
        <v>34731</v>
      </c>
      <c r="H100" s="9">
        <v>13.45</v>
      </c>
    </row>
    <row r="101" spans="1:8" x14ac:dyDescent="0.75">
      <c r="A101" s="8">
        <v>34759</v>
      </c>
      <c r="H101" s="9">
        <v>12.94</v>
      </c>
    </row>
    <row r="102" spans="1:8" x14ac:dyDescent="0.75">
      <c r="A102" s="8">
        <v>34790</v>
      </c>
      <c r="H102" s="9">
        <v>15.27</v>
      </c>
    </row>
    <row r="103" spans="1:8" x14ac:dyDescent="0.75">
      <c r="A103" s="8">
        <v>34820</v>
      </c>
      <c r="H103" s="9">
        <v>15.33</v>
      </c>
    </row>
    <row r="104" spans="1:8" x14ac:dyDescent="0.75">
      <c r="A104" s="8">
        <v>34851</v>
      </c>
      <c r="H104" s="9">
        <v>14.78</v>
      </c>
    </row>
    <row r="105" spans="1:8" x14ac:dyDescent="0.75">
      <c r="A105" s="8">
        <v>34881</v>
      </c>
      <c r="H105" s="9">
        <v>13.51</v>
      </c>
    </row>
    <row r="106" spans="1:8" x14ac:dyDescent="0.75">
      <c r="A106" s="8">
        <v>34912</v>
      </c>
      <c r="H106" s="9">
        <v>11.84</v>
      </c>
    </row>
    <row r="107" spans="1:8" x14ac:dyDescent="0.75">
      <c r="A107" s="8">
        <v>34943</v>
      </c>
      <c r="H107" s="9">
        <v>13.84</v>
      </c>
    </row>
    <row r="108" spans="1:8" x14ac:dyDescent="0.75">
      <c r="A108" s="8">
        <v>34973</v>
      </c>
      <c r="H108" s="9">
        <v>13.65</v>
      </c>
    </row>
    <row r="109" spans="1:8" x14ac:dyDescent="0.75">
      <c r="A109" s="8">
        <v>35004</v>
      </c>
      <c r="H109" s="9">
        <v>13.13</v>
      </c>
    </row>
    <row r="110" spans="1:8" x14ac:dyDescent="0.75">
      <c r="A110" s="8">
        <v>35034</v>
      </c>
      <c r="H110" s="9">
        <v>14.14</v>
      </c>
    </row>
    <row r="111" spans="1:8" x14ac:dyDescent="0.75">
      <c r="A111" s="8">
        <v>35065</v>
      </c>
      <c r="H111" s="9">
        <v>13.08</v>
      </c>
    </row>
    <row r="112" spans="1:8" x14ac:dyDescent="0.75">
      <c r="A112" s="8">
        <v>35096</v>
      </c>
      <c r="H112" s="9">
        <v>13.21</v>
      </c>
    </row>
    <row r="113" spans="1:8" x14ac:dyDescent="0.75">
      <c r="A113" s="8">
        <v>35125</v>
      </c>
      <c r="H113" s="9">
        <v>12.66</v>
      </c>
    </row>
    <row r="114" spans="1:8" x14ac:dyDescent="0.75">
      <c r="A114" s="8">
        <v>35156</v>
      </c>
      <c r="H114" s="9">
        <v>14.96</v>
      </c>
    </row>
    <row r="115" spans="1:8" x14ac:dyDescent="0.75">
      <c r="A115" s="8">
        <v>35186</v>
      </c>
      <c r="H115" s="9">
        <v>14.73</v>
      </c>
    </row>
    <row r="116" spans="1:8" x14ac:dyDescent="0.75">
      <c r="A116" s="8">
        <v>35217</v>
      </c>
      <c r="H116" s="9">
        <v>13.65</v>
      </c>
    </row>
    <row r="117" spans="1:8" x14ac:dyDescent="0.75">
      <c r="A117" s="8">
        <v>35247</v>
      </c>
      <c r="H117" s="9">
        <v>14.15</v>
      </c>
    </row>
    <row r="118" spans="1:8" x14ac:dyDescent="0.75">
      <c r="A118" s="8">
        <v>35278</v>
      </c>
      <c r="H118" s="9">
        <v>15.39</v>
      </c>
    </row>
    <row r="119" spans="1:8" x14ac:dyDescent="0.75">
      <c r="A119" s="8">
        <v>35309</v>
      </c>
      <c r="H119" s="9">
        <v>14.95</v>
      </c>
    </row>
    <row r="120" spans="1:8" x14ac:dyDescent="0.75">
      <c r="A120" s="8">
        <v>35339</v>
      </c>
      <c r="H120" s="9">
        <v>14.96</v>
      </c>
    </row>
    <row r="121" spans="1:8" x14ac:dyDescent="0.75">
      <c r="A121" s="8">
        <v>35370</v>
      </c>
      <c r="H121" s="9">
        <v>12.7</v>
      </c>
    </row>
    <row r="122" spans="1:8" x14ac:dyDescent="0.75">
      <c r="A122" s="8">
        <v>35400</v>
      </c>
      <c r="H122" s="9">
        <v>13.04</v>
      </c>
    </row>
    <row r="123" spans="1:8" x14ac:dyDescent="0.75">
      <c r="A123" s="8">
        <v>35431</v>
      </c>
      <c r="H123" s="9">
        <v>12.85</v>
      </c>
    </row>
    <row r="124" spans="1:8" x14ac:dyDescent="0.75">
      <c r="A124" s="8">
        <v>35462</v>
      </c>
      <c r="H124" s="9">
        <v>12.66</v>
      </c>
    </row>
    <row r="125" spans="1:8" x14ac:dyDescent="0.75">
      <c r="A125" s="8">
        <v>35490</v>
      </c>
      <c r="H125" s="9">
        <v>10.88</v>
      </c>
    </row>
    <row r="126" spans="1:8" x14ac:dyDescent="0.75">
      <c r="A126" s="8">
        <v>35521</v>
      </c>
      <c r="H126" s="9">
        <v>13.59</v>
      </c>
    </row>
    <row r="127" spans="1:8" x14ac:dyDescent="0.75">
      <c r="A127" s="8">
        <v>35551</v>
      </c>
      <c r="H127" s="9">
        <v>13.48</v>
      </c>
    </row>
    <row r="128" spans="1:8" x14ac:dyDescent="0.75">
      <c r="A128" s="8">
        <v>35582</v>
      </c>
      <c r="H128" s="9">
        <v>13.67</v>
      </c>
    </row>
    <row r="129" spans="1:8" x14ac:dyDescent="0.75">
      <c r="A129" s="8">
        <v>35612</v>
      </c>
      <c r="H129" s="9">
        <v>15.87</v>
      </c>
    </row>
    <row r="130" spans="1:8" x14ac:dyDescent="0.75">
      <c r="A130" s="8">
        <v>35643</v>
      </c>
      <c r="H130" s="9">
        <v>65.02</v>
      </c>
    </row>
    <row r="131" spans="1:8" x14ac:dyDescent="0.75">
      <c r="A131" s="8">
        <v>35674</v>
      </c>
      <c r="H131" s="9">
        <v>52.61</v>
      </c>
    </row>
    <row r="132" spans="1:8" x14ac:dyDescent="0.75">
      <c r="A132" s="8">
        <v>35704</v>
      </c>
      <c r="H132" s="9">
        <v>40.340000000000003</v>
      </c>
    </row>
    <row r="133" spans="1:8" x14ac:dyDescent="0.75">
      <c r="A133" s="8">
        <v>35735</v>
      </c>
      <c r="H133" s="9">
        <v>42.15</v>
      </c>
    </row>
    <row r="134" spans="1:8" x14ac:dyDescent="0.75">
      <c r="A134" s="8">
        <v>35765</v>
      </c>
      <c r="H134" s="9">
        <v>40.67</v>
      </c>
    </row>
    <row r="135" spans="1:8" x14ac:dyDescent="0.75">
      <c r="A135" s="8">
        <v>35796</v>
      </c>
      <c r="H135" s="9">
        <v>57.18</v>
      </c>
    </row>
    <row r="136" spans="1:8" x14ac:dyDescent="0.75">
      <c r="A136" s="8">
        <v>35827</v>
      </c>
      <c r="H136" s="9">
        <v>64.81</v>
      </c>
    </row>
    <row r="137" spans="1:8" x14ac:dyDescent="0.75">
      <c r="A137" s="8">
        <v>35855</v>
      </c>
      <c r="H137" s="9">
        <v>51.76</v>
      </c>
    </row>
    <row r="138" spans="1:8" x14ac:dyDescent="0.75">
      <c r="A138" s="8">
        <v>35886</v>
      </c>
      <c r="H138" s="9">
        <v>70.8</v>
      </c>
    </row>
    <row r="139" spans="1:8" x14ac:dyDescent="0.75">
      <c r="A139" s="8">
        <v>35916</v>
      </c>
      <c r="H139" s="9">
        <v>63.54</v>
      </c>
    </row>
    <row r="140" spans="1:8" x14ac:dyDescent="0.75">
      <c r="A140" s="8">
        <v>35947</v>
      </c>
      <c r="H140" s="9">
        <v>64.59</v>
      </c>
    </row>
    <row r="141" spans="1:8" x14ac:dyDescent="0.75">
      <c r="A141" s="8">
        <v>35977</v>
      </c>
      <c r="H141" s="9">
        <v>75.319999999999993</v>
      </c>
    </row>
    <row r="142" spans="1:8" x14ac:dyDescent="0.75">
      <c r="A142" s="8">
        <v>36008</v>
      </c>
      <c r="H142" s="9">
        <v>81.010000000000005</v>
      </c>
    </row>
    <row r="143" spans="1:8" x14ac:dyDescent="0.75">
      <c r="A143" s="8">
        <v>36039</v>
      </c>
      <c r="H143" s="9">
        <v>66.209999999999994</v>
      </c>
    </row>
    <row r="144" spans="1:8" x14ac:dyDescent="0.75">
      <c r="A144" s="8">
        <v>36069</v>
      </c>
      <c r="H144" s="9">
        <v>59.35</v>
      </c>
    </row>
    <row r="145" spans="1:8" x14ac:dyDescent="0.75">
      <c r="A145" s="8">
        <v>36100</v>
      </c>
      <c r="H145" s="9">
        <v>65.489999999999995</v>
      </c>
    </row>
    <row r="146" spans="1:8" x14ac:dyDescent="0.75">
      <c r="A146" s="8">
        <v>36130</v>
      </c>
      <c r="H146" s="9">
        <v>33.44</v>
      </c>
    </row>
    <row r="147" spans="1:8" x14ac:dyDescent="0.75">
      <c r="A147" s="8">
        <v>36161</v>
      </c>
      <c r="H147" s="9">
        <v>37.92</v>
      </c>
    </row>
    <row r="148" spans="1:8" x14ac:dyDescent="0.75">
      <c r="A148" s="8">
        <v>36192</v>
      </c>
      <c r="H148" s="9">
        <v>39.97</v>
      </c>
    </row>
    <row r="149" spans="1:8" x14ac:dyDescent="0.75">
      <c r="A149" s="8">
        <v>36220</v>
      </c>
      <c r="H149" s="9">
        <v>41.98</v>
      </c>
    </row>
    <row r="150" spans="1:8" x14ac:dyDescent="0.75">
      <c r="A150" s="8">
        <v>36251</v>
      </c>
      <c r="H150" s="9">
        <v>35.54</v>
      </c>
    </row>
    <row r="151" spans="1:8" x14ac:dyDescent="0.75">
      <c r="A151" s="8">
        <v>36281</v>
      </c>
      <c r="H151" s="9">
        <v>28.76</v>
      </c>
    </row>
    <row r="152" spans="1:8" x14ac:dyDescent="0.75">
      <c r="A152" s="8">
        <v>36312</v>
      </c>
      <c r="H152" s="9">
        <v>22.55</v>
      </c>
    </row>
    <row r="153" spans="1:8" x14ac:dyDescent="0.75">
      <c r="A153" s="8">
        <v>36342</v>
      </c>
      <c r="H153" s="9">
        <v>14.84</v>
      </c>
    </row>
    <row r="154" spans="1:8" x14ac:dyDescent="0.75">
      <c r="A154" s="8">
        <v>36373</v>
      </c>
      <c r="H154" s="9">
        <v>12.45</v>
      </c>
    </row>
    <row r="155" spans="1:8" x14ac:dyDescent="0.75">
      <c r="A155" s="8">
        <v>36404</v>
      </c>
      <c r="H155" s="9">
        <v>12.34</v>
      </c>
    </row>
    <row r="156" spans="1:8" x14ac:dyDescent="0.75">
      <c r="A156" s="8">
        <v>36434</v>
      </c>
      <c r="H156" s="9">
        <v>12.32</v>
      </c>
    </row>
    <row r="157" spans="1:8" x14ac:dyDescent="0.75">
      <c r="A157" s="8">
        <v>36465</v>
      </c>
      <c r="H157" s="9">
        <v>12.28</v>
      </c>
    </row>
    <row r="158" spans="1:8" x14ac:dyDescent="0.75">
      <c r="A158" s="8">
        <v>36495</v>
      </c>
      <c r="H158" s="9">
        <v>12.06</v>
      </c>
    </row>
    <row r="159" spans="1:8" x14ac:dyDescent="0.75">
      <c r="A159" s="8">
        <v>36526</v>
      </c>
      <c r="H159" s="9">
        <v>9.58</v>
      </c>
    </row>
    <row r="160" spans="1:8" x14ac:dyDescent="0.75">
      <c r="A160" s="8">
        <v>36557</v>
      </c>
      <c r="H160" s="9">
        <v>9.39</v>
      </c>
    </row>
    <row r="161" spans="1:8" x14ac:dyDescent="0.75">
      <c r="A161" s="8">
        <v>36586</v>
      </c>
      <c r="H161" s="9">
        <v>9.42</v>
      </c>
    </row>
    <row r="162" spans="1:8" x14ac:dyDescent="0.75">
      <c r="A162" s="8">
        <v>36617</v>
      </c>
      <c r="H162" s="9">
        <v>9.49</v>
      </c>
    </row>
    <row r="163" spans="1:8" x14ac:dyDescent="0.75">
      <c r="A163" s="8">
        <v>36647</v>
      </c>
      <c r="H163" s="9">
        <v>9.8800000000000008</v>
      </c>
    </row>
    <row r="164" spans="1:8" x14ac:dyDescent="0.75">
      <c r="A164" s="8">
        <v>36678</v>
      </c>
      <c r="H164" s="9">
        <v>11.12</v>
      </c>
    </row>
    <row r="165" spans="1:8" x14ac:dyDescent="0.75">
      <c r="A165" s="8">
        <v>36708</v>
      </c>
      <c r="H165" s="9">
        <v>10.71</v>
      </c>
    </row>
    <row r="166" spans="1:8" x14ac:dyDescent="0.75">
      <c r="A166" s="8">
        <v>36739</v>
      </c>
      <c r="H166" s="9">
        <v>10.31</v>
      </c>
    </row>
    <row r="167" spans="1:8" x14ac:dyDescent="0.75">
      <c r="A167" s="8">
        <v>36770</v>
      </c>
      <c r="H167" s="9">
        <v>10.62</v>
      </c>
    </row>
    <row r="168" spans="1:8" x14ac:dyDescent="0.75">
      <c r="A168" s="8">
        <v>36800</v>
      </c>
      <c r="H168" s="9">
        <v>10.85</v>
      </c>
    </row>
    <row r="169" spans="1:8" x14ac:dyDescent="0.75">
      <c r="A169" s="8">
        <v>36831</v>
      </c>
      <c r="H169" s="9">
        <v>11.07</v>
      </c>
    </row>
    <row r="170" spans="1:8" x14ac:dyDescent="0.75">
      <c r="A170" s="8">
        <v>36861</v>
      </c>
      <c r="H170" s="9">
        <v>11.41</v>
      </c>
    </row>
    <row r="171" spans="1:8" x14ac:dyDescent="0.75">
      <c r="A171" s="8">
        <v>36892</v>
      </c>
      <c r="H171" s="9">
        <v>11.85</v>
      </c>
    </row>
    <row r="172" spans="1:8" x14ac:dyDescent="0.75">
      <c r="A172" s="8">
        <v>36923</v>
      </c>
      <c r="H172" s="9">
        <v>22.06</v>
      </c>
    </row>
    <row r="173" spans="1:8" x14ac:dyDescent="0.75">
      <c r="A173" s="8">
        <v>36951</v>
      </c>
      <c r="H173" s="9">
        <v>12.73</v>
      </c>
    </row>
    <row r="174" spans="1:8" x14ac:dyDescent="0.75">
      <c r="A174" s="8">
        <v>36982</v>
      </c>
      <c r="H174" s="9">
        <v>13.15</v>
      </c>
    </row>
    <row r="175" spans="1:8" x14ac:dyDescent="0.75">
      <c r="A175" s="8">
        <v>37012</v>
      </c>
      <c r="H175" s="9">
        <v>13.98</v>
      </c>
    </row>
    <row r="176" spans="1:8" x14ac:dyDescent="0.75">
      <c r="A176" s="8">
        <v>37043</v>
      </c>
      <c r="H176" s="9">
        <v>13.95</v>
      </c>
    </row>
    <row r="177" spans="1:8" x14ac:dyDescent="0.75">
      <c r="A177" s="8">
        <v>37073</v>
      </c>
      <c r="H177" s="9">
        <v>15.76</v>
      </c>
    </row>
    <row r="178" spans="1:8" x14ac:dyDescent="0.75">
      <c r="A178" s="8">
        <v>37104</v>
      </c>
      <c r="H178" s="9">
        <v>14.88</v>
      </c>
    </row>
    <row r="179" spans="1:8" x14ac:dyDescent="0.75">
      <c r="A179" s="8">
        <v>37135</v>
      </c>
      <c r="H179" s="9">
        <v>15.47</v>
      </c>
    </row>
    <row r="180" spans="1:8" x14ac:dyDescent="0.75">
      <c r="A180" s="8">
        <v>37165</v>
      </c>
      <c r="H180" s="9">
        <v>15.38</v>
      </c>
    </row>
    <row r="181" spans="1:8" x14ac:dyDescent="0.75">
      <c r="A181" s="8">
        <v>37196</v>
      </c>
      <c r="H181" s="9">
        <v>15.64</v>
      </c>
    </row>
    <row r="182" spans="1:8" x14ac:dyDescent="0.75">
      <c r="A182" s="8">
        <v>37226</v>
      </c>
      <c r="H182" s="9">
        <v>15.66</v>
      </c>
    </row>
    <row r="183" spans="1:8" x14ac:dyDescent="0.75">
      <c r="A183" s="8">
        <v>37257</v>
      </c>
      <c r="H183" s="9">
        <v>19.816569999999999</v>
      </c>
    </row>
    <row r="184" spans="1:8" x14ac:dyDescent="0.75">
      <c r="A184" s="8">
        <v>37288</v>
      </c>
      <c r="H184" s="9">
        <v>15.914960000000001</v>
      </c>
    </row>
    <row r="185" spans="1:8" x14ac:dyDescent="0.75">
      <c r="A185" s="8">
        <v>37316</v>
      </c>
      <c r="H185" s="9">
        <v>15.4114</v>
      </c>
    </row>
    <row r="186" spans="1:8" x14ac:dyDescent="0.75">
      <c r="A186" s="8">
        <v>37347</v>
      </c>
      <c r="H186" s="9">
        <v>15.379189999999999</v>
      </c>
    </row>
    <row r="187" spans="1:8" x14ac:dyDescent="0.75">
      <c r="A187" s="8">
        <v>37377</v>
      </c>
      <c r="H187" s="9">
        <v>15.018319999999999</v>
      </c>
    </row>
    <row r="188" spans="1:8" x14ac:dyDescent="0.75">
      <c r="A188" s="8">
        <v>37408</v>
      </c>
      <c r="H188" s="9">
        <v>14.469110000000001</v>
      </c>
    </row>
    <row r="189" spans="1:8" x14ac:dyDescent="0.75">
      <c r="A189" s="8">
        <v>37438</v>
      </c>
      <c r="H189" s="9">
        <v>14.19908</v>
      </c>
    </row>
    <row r="190" spans="1:8" x14ac:dyDescent="0.75">
      <c r="A190" s="8">
        <v>37469</v>
      </c>
      <c r="H190" s="9">
        <v>12.805440000000001</v>
      </c>
    </row>
    <row r="191" spans="1:8" x14ac:dyDescent="0.75">
      <c r="A191" s="8">
        <v>37500</v>
      </c>
      <c r="H191" s="9">
        <v>10.89208</v>
      </c>
    </row>
    <row r="192" spans="1:8" x14ac:dyDescent="0.75">
      <c r="A192" s="8">
        <v>37530</v>
      </c>
      <c r="H192" s="9">
        <v>8.4944299999999995</v>
      </c>
    </row>
    <row r="193" spans="1:8" x14ac:dyDescent="0.75">
      <c r="A193" s="8">
        <v>37561</v>
      </c>
      <c r="H193" s="9">
        <v>11.104290000000001</v>
      </c>
    </row>
    <row r="194" spans="1:8" x14ac:dyDescent="0.75">
      <c r="A194" s="8">
        <v>37591</v>
      </c>
      <c r="H194" s="9">
        <v>8.1362299999999994</v>
      </c>
    </row>
    <row r="195" spans="1:8" x14ac:dyDescent="0.75">
      <c r="A195" s="8">
        <v>37622</v>
      </c>
      <c r="H195" s="9">
        <v>12.382899999999999</v>
      </c>
    </row>
    <row r="196" spans="1:8" x14ac:dyDescent="0.75">
      <c r="A196" s="8">
        <v>37653</v>
      </c>
      <c r="H196" s="9">
        <v>11.0411</v>
      </c>
    </row>
    <row r="197" spans="1:8" x14ac:dyDescent="0.75">
      <c r="A197" s="8">
        <v>37681</v>
      </c>
      <c r="H197" s="9">
        <v>12.696960000000001</v>
      </c>
    </row>
    <row r="198" spans="1:8" x14ac:dyDescent="0.75">
      <c r="A198" s="8">
        <v>37712</v>
      </c>
      <c r="H198" s="9">
        <v>9.1244899999999998</v>
      </c>
    </row>
    <row r="199" spans="1:8" x14ac:dyDescent="0.75">
      <c r="A199" s="8">
        <v>37742</v>
      </c>
      <c r="H199" s="9">
        <v>6.8100899999999998</v>
      </c>
    </row>
    <row r="200" spans="1:8" x14ac:dyDescent="0.75">
      <c r="A200" s="8">
        <v>37773</v>
      </c>
      <c r="H200" s="9">
        <v>6.1035000000000004</v>
      </c>
    </row>
    <row r="201" spans="1:8" x14ac:dyDescent="0.75">
      <c r="A201" s="8">
        <v>37803</v>
      </c>
      <c r="H201" s="9">
        <v>5.7947600000000001</v>
      </c>
    </row>
    <row r="202" spans="1:8" x14ac:dyDescent="0.75">
      <c r="A202" s="8">
        <v>37834</v>
      </c>
      <c r="H202" s="9">
        <v>7.0954100000000002</v>
      </c>
    </row>
    <row r="203" spans="1:8" x14ac:dyDescent="0.75">
      <c r="A203" s="8">
        <v>37865</v>
      </c>
      <c r="H203" s="9">
        <v>4.8991100000000003</v>
      </c>
    </row>
    <row r="204" spans="1:8" x14ac:dyDescent="0.75">
      <c r="A204" s="8">
        <v>37895</v>
      </c>
      <c r="H204" s="9">
        <v>5.5653699999999997</v>
      </c>
    </row>
    <row r="205" spans="1:8" x14ac:dyDescent="0.75">
      <c r="A205" s="8">
        <v>37926</v>
      </c>
      <c r="H205" s="9">
        <v>3.9862000000000002</v>
      </c>
    </row>
    <row r="206" spans="1:8" x14ac:dyDescent="0.75">
      <c r="A206" s="8">
        <v>37956</v>
      </c>
      <c r="H206" s="9">
        <v>4.6500000000000004</v>
      </c>
    </row>
    <row r="207" spans="1:8" x14ac:dyDescent="0.75">
      <c r="A207" s="8">
        <v>37987</v>
      </c>
      <c r="H207" s="9">
        <v>7.2120499999999996</v>
      </c>
    </row>
    <row r="208" spans="1:8" x14ac:dyDescent="0.75">
      <c r="A208" s="8">
        <v>38018</v>
      </c>
      <c r="H208" s="9">
        <v>5.31365</v>
      </c>
    </row>
    <row r="209" spans="1:8" x14ac:dyDescent="0.75">
      <c r="A209" s="8">
        <v>38047</v>
      </c>
      <c r="H209" s="9">
        <v>5.8746600000000004</v>
      </c>
    </row>
    <row r="210" spans="1:8" x14ac:dyDescent="0.75">
      <c r="A210" s="8">
        <v>38078</v>
      </c>
      <c r="H210" s="9">
        <v>4.5341300000000002</v>
      </c>
    </row>
    <row r="211" spans="1:8" x14ac:dyDescent="0.75">
      <c r="A211" s="8">
        <v>38108</v>
      </c>
      <c r="H211" s="9">
        <v>4.7057000000000002</v>
      </c>
    </row>
    <row r="212" spans="1:8" x14ac:dyDescent="0.75">
      <c r="A212" s="8">
        <v>38139</v>
      </c>
      <c r="H212" s="9">
        <v>4.2448300000000003</v>
      </c>
    </row>
    <row r="213" spans="1:8" x14ac:dyDescent="0.75">
      <c r="A213" s="8">
        <v>38169</v>
      </c>
      <c r="H213" s="9">
        <v>4.8188899999999997</v>
      </c>
    </row>
    <row r="214" spans="1:8" x14ac:dyDescent="0.75">
      <c r="A214" s="8">
        <v>38200</v>
      </c>
      <c r="H214" s="9">
        <v>4.8748199999999997</v>
      </c>
    </row>
    <row r="215" spans="1:8" x14ac:dyDescent="0.75">
      <c r="A215" s="8">
        <v>38231</v>
      </c>
      <c r="H215" s="9">
        <v>4.1325900000000004</v>
      </c>
    </row>
    <row r="216" spans="1:8" x14ac:dyDescent="0.75">
      <c r="A216" s="8">
        <v>38261</v>
      </c>
      <c r="H216" s="9">
        <v>6.4359500000000001</v>
      </c>
    </row>
    <row r="217" spans="1:8" x14ac:dyDescent="0.75">
      <c r="A217" s="8">
        <v>38292</v>
      </c>
      <c r="H217" s="9">
        <v>4.1586600000000002</v>
      </c>
    </row>
    <row r="218" spans="1:8" x14ac:dyDescent="0.75">
      <c r="A218" s="8">
        <v>38322</v>
      </c>
      <c r="H218" s="9">
        <v>4.3039800000000001</v>
      </c>
    </row>
    <row r="219" spans="1:8" x14ac:dyDescent="0.75">
      <c r="A219" s="8">
        <v>38353</v>
      </c>
      <c r="H219" s="9">
        <v>4.2309700000000001</v>
      </c>
    </row>
    <row r="220" spans="1:8" x14ac:dyDescent="0.75">
      <c r="A220" s="8">
        <v>38384</v>
      </c>
      <c r="H220" s="9">
        <v>6.4262899999999998</v>
      </c>
    </row>
    <row r="221" spans="1:8" x14ac:dyDescent="0.75">
      <c r="A221" s="8">
        <v>38412</v>
      </c>
      <c r="H221" s="9">
        <v>4.3194600000000003</v>
      </c>
    </row>
    <row r="222" spans="1:8" x14ac:dyDescent="0.75">
      <c r="A222" s="8">
        <v>38443</v>
      </c>
      <c r="H222" s="9">
        <v>14.767469999999999</v>
      </c>
    </row>
    <row r="223" spans="1:8" x14ac:dyDescent="0.75">
      <c r="A223" s="8">
        <v>38473</v>
      </c>
      <c r="H223" s="9">
        <v>0.85353999999999997</v>
      </c>
    </row>
    <row r="224" spans="1:8" x14ac:dyDescent="0.75">
      <c r="A224" s="8">
        <v>38504</v>
      </c>
      <c r="H224" s="9">
        <v>0.40864</v>
      </c>
    </row>
    <row r="225" spans="1:8" x14ac:dyDescent="0.75">
      <c r="A225" s="8">
        <v>38534</v>
      </c>
      <c r="H225" s="9">
        <v>17.216740000000001</v>
      </c>
    </row>
    <row r="226" spans="1:8" x14ac:dyDescent="0.75">
      <c r="A226" s="8">
        <v>38565</v>
      </c>
      <c r="H226" s="9">
        <v>15.0261</v>
      </c>
    </row>
    <row r="227" spans="1:8" x14ac:dyDescent="0.75">
      <c r="A227" s="8">
        <v>38596</v>
      </c>
      <c r="H227" s="9">
        <v>3.9239999999999999</v>
      </c>
    </row>
    <row r="228" spans="1:8" x14ac:dyDescent="0.75">
      <c r="A228" s="8">
        <v>38626</v>
      </c>
      <c r="H228" s="9">
        <v>5.6087699999999998</v>
      </c>
    </row>
    <row r="229" spans="1:8" x14ac:dyDescent="0.75">
      <c r="A229" s="8">
        <v>38657</v>
      </c>
      <c r="H229" s="9">
        <v>7.4924600000000003</v>
      </c>
    </row>
    <row r="230" spans="1:8" x14ac:dyDescent="0.75">
      <c r="A230" s="8">
        <v>38687</v>
      </c>
      <c r="H230" s="9">
        <v>11.23592</v>
      </c>
    </row>
    <row r="231" spans="1:8" x14ac:dyDescent="0.75">
      <c r="A231" s="8">
        <v>38718</v>
      </c>
      <c r="H231" s="9">
        <v>10.40217</v>
      </c>
    </row>
    <row r="232" spans="1:8" x14ac:dyDescent="0.75">
      <c r="A232" s="8">
        <v>38749</v>
      </c>
      <c r="H232" s="9">
        <v>9.3030299999999997</v>
      </c>
    </row>
    <row r="233" spans="1:8" x14ac:dyDescent="0.75">
      <c r="A233" s="8">
        <v>38777</v>
      </c>
      <c r="H233" s="9">
        <v>11.531689999999999</v>
      </c>
    </row>
    <row r="234" spans="1:8" x14ac:dyDescent="0.75">
      <c r="A234" s="8">
        <v>38808</v>
      </c>
      <c r="H234" s="9">
        <v>23.41629</v>
      </c>
    </row>
    <row r="235" spans="1:8" x14ac:dyDescent="0.75">
      <c r="A235" s="8">
        <v>38838</v>
      </c>
      <c r="H235" s="9">
        <v>7.9819300000000002</v>
      </c>
    </row>
    <row r="236" spans="1:8" x14ac:dyDescent="0.75">
      <c r="A236" s="8">
        <v>38869</v>
      </c>
      <c r="H236" s="9">
        <v>8.2557899999999993</v>
      </c>
    </row>
    <row r="237" spans="1:8" x14ac:dyDescent="0.75">
      <c r="A237" s="8">
        <v>38899</v>
      </c>
      <c r="H237" s="9">
        <v>8.3245400000000007</v>
      </c>
    </row>
    <row r="238" spans="1:8" x14ac:dyDescent="0.75">
      <c r="A238" s="8">
        <v>38930</v>
      </c>
      <c r="H238" s="9">
        <v>7.7671700000000001</v>
      </c>
    </row>
    <row r="239" spans="1:8" x14ac:dyDescent="0.75">
      <c r="A239" s="8">
        <v>38961</v>
      </c>
      <c r="H239" s="9">
        <v>6.7786099999999996</v>
      </c>
    </row>
    <row r="240" spans="1:8" x14ac:dyDescent="0.75">
      <c r="A240" s="8">
        <v>38991</v>
      </c>
      <c r="H240" s="9">
        <v>5.9243399999999999</v>
      </c>
    </row>
    <row r="241" spans="1:8" x14ac:dyDescent="0.75">
      <c r="A241" s="8">
        <v>39022</v>
      </c>
      <c r="H241" s="9">
        <v>5.5418000000000003</v>
      </c>
    </row>
    <row r="242" spans="1:8" x14ac:dyDescent="0.75">
      <c r="A242" s="8">
        <v>39052</v>
      </c>
      <c r="H242" s="9">
        <v>5.3924899999999996</v>
      </c>
    </row>
    <row r="243" spans="1:8" x14ac:dyDescent="0.75">
      <c r="A243" s="8">
        <v>39083</v>
      </c>
      <c r="H243" s="9">
        <v>4.9462000000000002</v>
      </c>
    </row>
    <row r="244" spans="1:8" x14ac:dyDescent="0.75">
      <c r="A244" s="8">
        <v>39114</v>
      </c>
      <c r="H244" s="9">
        <v>4.8541299999999996</v>
      </c>
    </row>
    <row r="245" spans="1:8" x14ac:dyDescent="0.75">
      <c r="A245" s="8">
        <v>39142</v>
      </c>
      <c r="H245" s="9">
        <v>12.682</v>
      </c>
    </row>
    <row r="246" spans="1:8" x14ac:dyDescent="0.75">
      <c r="A246" s="8">
        <v>39173</v>
      </c>
      <c r="H246" s="9">
        <v>7.1271000000000004</v>
      </c>
    </row>
    <row r="247" spans="1:8" x14ac:dyDescent="0.75">
      <c r="A247" s="8">
        <v>39203</v>
      </c>
      <c r="H247" s="9">
        <v>5.5308999999999999</v>
      </c>
    </row>
    <row r="248" spans="1:8" x14ac:dyDescent="0.75">
      <c r="A248" s="8">
        <v>39234</v>
      </c>
      <c r="H248" s="9">
        <v>4.2418399999999998</v>
      </c>
    </row>
    <row r="249" spans="1:8" x14ac:dyDescent="0.75">
      <c r="A249" s="8">
        <v>39264</v>
      </c>
      <c r="H249" s="9">
        <v>4.4606000000000003</v>
      </c>
    </row>
    <row r="250" spans="1:8" x14ac:dyDescent="0.75">
      <c r="A250" s="8">
        <v>39295</v>
      </c>
      <c r="H250" s="9">
        <v>3.4681500000000001</v>
      </c>
    </row>
    <row r="251" spans="1:8" x14ac:dyDescent="0.75">
      <c r="A251" s="8">
        <v>39326</v>
      </c>
      <c r="H251" s="9">
        <v>10.226290000000001</v>
      </c>
    </row>
    <row r="252" spans="1:8" x14ac:dyDescent="0.75">
      <c r="A252" s="8">
        <v>39356</v>
      </c>
      <c r="H252" s="9">
        <v>3.5709399999999998</v>
      </c>
    </row>
    <row r="253" spans="1:8" x14ac:dyDescent="0.75">
      <c r="A253" s="8">
        <v>39387</v>
      </c>
      <c r="H253" s="9">
        <v>3.47634</v>
      </c>
    </row>
    <row r="254" spans="1:8" x14ac:dyDescent="0.75">
      <c r="A254" s="8">
        <v>39417</v>
      </c>
      <c r="H254" s="9">
        <v>3.1929699999999999</v>
      </c>
    </row>
    <row r="255" spans="1:8" x14ac:dyDescent="0.75">
      <c r="A255" s="8">
        <v>39448</v>
      </c>
      <c r="H255" s="9">
        <v>6.0753899999999996</v>
      </c>
    </row>
    <row r="256" spans="1:8" x14ac:dyDescent="0.75">
      <c r="A256" s="8">
        <v>39479</v>
      </c>
      <c r="H256" s="9">
        <v>7.5279299999999996</v>
      </c>
    </row>
    <row r="257" spans="1:8" x14ac:dyDescent="0.75">
      <c r="A257" s="8">
        <v>39508</v>
      </c>
      <c r="H257" s="9">
        <v>5.6955400000000003</v>
      </c>
    </row>
    <row r="258" spans="1:8" x14ac:dyDescent="0.75">
      <c r="A258" s="8">
        <v>39539</v>
      </c>
      <c r="H258" s="9">
        <v>7.5303399999999998</v>
      </c>
    </row>
    <row r="259" spans="1:8" x14ac:dyDescent="0.75">
      <c r="A259" s="8">
        <v>39569</v>
      </c>
      <c r="H259" s="9">
        <v>8.1488800000000001</v>
      </c>
    </row>
    <row r="260" spans="1:8" x14ac:dyDescent="0.75">
      <c r="A260" s="8">
        <v>39600</v>
      </c>
      <c r="H260" s="9">
        <v>8.45974</v>
      </c>
    </row>
    <row r="261" spans="1:8" x14ac:dyDescent="0.75">
      <c r="A261" s="8">
        <v>39630</v>
      </c>
      <c r="H261" s="9">
        <v>8.6837300000000006</v>
      </c>
    </row>
    <row r="262" spans="1:8" x14ac:dyDescent="0.75">
      <c r="A262" s="8">
        <v>39661</v>
      </c>
      <c r="H262" s="9">
        <v>9.1974</v>
      </c>
    </row>
    <row r="263" spans="1:8" x14ac:dyDescent="0.75">
      <c r="A263" s="8">
        <v>39692</v>
      </c>
      <c r="H263" s="9">
        <v>9.4091100000000001</v>
      </c>
    </row>
    <row r="264" spans="1:8" x14ac:dyDescent="0.75">
      <c r="A264" s="8">
        <v>39722</v>
      </c>
      <c r="H264" s="9">
        <v>9.84666</v>
      </c>
    </row>
    <row r="265" spans="1:8" x14ac:dyDescent="0.75">
      <c r="A265" s="8">
        <v>39753</v>
      </c>
      <c r="H265" s="9">
        <v>9.8371200000000005</v>
      </c>
    </row>
    <row r="266" spans="1:8" x14ac:dyDescent="0.75">
      <c r="A266" s="8">
        <v>39783</v>
      </c>
      <c r="H266" s="9">
        <v>9.4046299999999992</v>
      </c>
    </row>
    <row r="267" spans="1:8" x14ac:dyDescent="0.75">
      <c r="A267" s="8">
        <v>39814</v>
      </c>
      <c r="H267" s="9">
        <v>8.6172199999999997</v>
      </c>
    </row>
    <row r="268" spans="1:8" x14ac:dyDescent="0.75">
      <c r="A268" s="8">
        <v>39845</v>
      </c>
      <c r="H268" s="9">
        <v>8.4243900000000007</v>
      </c>
    </row>
    <row r="269" spans="1:8" x14ac:dyDescent="0.75">
      <c r="A269" s="8">
        <v>39873</v>
      </c>
      <c r="H269" s="9">
        <v>8.2079500000000003</v>
      </c>
    </row>
    <row r="270" spans="1:8" x14ac:dyDescent="0.75">
      <c r="A270" s="8">
        <v>39904</v>
      </c>
      <c r="H270" s="9">
        <v>7.6213699999999998</v>
      </c>
    </row>
    <row r="271" spans="1:8" x14ac:dyDescent="0.75">
      <c r="A271" s="8">
        <v>39934</v>
      </c>
      <c r="H271" s="9">
        <v>7.3193700000000002</v>
      </c>
    </row>
    <row r="272" spans="1:8" x14ac:dyDescent="0.75">
      <c r="A272" s="8">
        <v>39965</v>
      </c>
      <c r="H272" s="9">
        <v>6.8136099999999997</v>
      </c>
    </row>
    <row r="273" spans="1:8" x14ac:dyDescent="0.75">
      <c r="A273" s="8">
        <v>39995</v>
      </c>
      <c r="H273" s="9">
        <v>6.5585100000000001</v>
      </c>
    </row>
    <row r="274" spans="1:8" x14ac:dyDescent="0.75">
      <c r="A274" s="8">
        <v>40026</v>
      </c>
      <c r="H274" s="9">
        <v>6.18994</v>
      </c>
    </row>
    <row r="275" spans="1:8" x14ac:dyDescent="0.75">
      <c r="A275" s="8">
        <v>40057</v>
      </c>
      <c r="H275" s="9">
        <v>6.3315000000000001</v>
      </c>
    </row>
    <row r="276" spans="1:8" x14ac:dyDescent="0.75">
      <c r="A276" s="8">
        <v>40087</v>
      </c>
      <c r="H276" s="9">
        <v>6.2947699999999998</v>
      </c>
    </row>
    <row r="277" spans="1:8" x14ac:dyDescent="0.75">
      <c r="A277" s="8">
        <v>40118</v>
      </c>
      <c r="H277" s="9">
        <v>6.4267899999999996</v>
      </c>
    </row>
    <row r="278" spans="1:8" x14ac:dyDescent="0.75">
      <c r="A278" s="8">
        <v>40148</v>
      </c>
      <c r="H278" s="9">
        <v>6.4899800000000001</v>
      </c>
    </row>
    <row r="279" spans="1:8" x14ac:dyDescent="0.75">
      <c r="A279" s="8">
        <v>40179</v>
      </c>
      <c r="B279" s="9">
        <v>93.6</v>
      </c>
      <c r="C279" s="9">
        <v>115.97222222000001</v>
      </c>
      <c r="D279" s="9">
        <v>119.44444444</v>
      </c>
      <c r="E279" s="9">
        <v>132.36396668</v>
      </c>
      <c r="F279" s="9">
        <v>121.66276453</v>
      </c>
      <c r="H279" s="9">
        <v>6.1885500000000002</v>
      </c>
    </row>
    <row r="280" spans="1:8" x14ac:dyDescent="0.75">
      <c r="A280" s="8">
        <v>40210</v>
      </c>
      <c r="B280" s="9">
        <v>90.6</v>
      </c>
      <c r="C280" s="9">
        <v>114.98257839999999</v>
      </c>
      <c r="D280" s="9">
        <v>116.72473868</v>
      </c>
      <c r="E280" s="9">
        <v>127.21258396</v>
      </c>
      <c r="F280" s="9">
        <v>121.36969138000001</v>
      </c>
      <c r="H280" s="9">
        <v>6.2885099999999996</v>
      </c>
    </row>
    <row r="281" spans="1:8" x14ac:dyDescent="0.75">
      <c r="A281" s="8">
        <v>40238</v>
      </c>
      <c r="B281" s="9">
        <v>94.4</v>
      </c>
      <c r="C281" s="9">
        <v>118.90034364</v>
      </c>
      <c r="D281" s="9">
        <v>122.33676976</v>
      </c>
      <c r="E281" s="9">
        <v>131.54863329</v>
      </c>
      <c r="F281" s="9">
        <v>124.00495915</v>
      </c>
      <c r="H281" s="9">
        <v>6.1534399999999998</v>
      </c>
    </row>
    <row r="282" spans="1:8" x14ac:dyDescent="0.75">
      <c r="A282" s="8">
        <v>40269</v>
      </c>
      <c r="B282" s="9">
        <v>94.2</v>
      </c>
      <c r="C282" s="9">
        <v>119.8630137</v>
      </c>
      <c r="D282" s="9">
        <v>124.31506849</v>
      </c>
      <c r="E282" s="9">
        <v>132.41624565999999</v>
      </c>
      <c r="F282" s="9">
        <v>124.53376528</v>
      </c>
      <c r="H282" s="9">
        <v>6.1993999999999998</v>
      </c>
    </row>
    <row r="283" spans="1:8" x14ac:dyDescent="0.75">
      <c r="A283" s="8">
        <v>40299</v>
      </c>
      <c r="B283" s="9">
        <v>100</v>
      </c>
      <c r="C283" s="9">
        <v>125</v>
      </c>
      <c r="D283" s="9">
        <v>120.54794520999999</v>
      </c>
      <c r="E283" s="9">
        <v>137.29847771999999</v>
      </c>
      <c r="F283" s="9">
        <v>127.90925478</v>
      </c>
      <c r="H283" s="9">
        <v>6.3689600000000004</v>
      </c>
    </row>
    <row r="284" spans="1:8" x14ac:dyDescent="0.75">
      <c r="A284" s="8">
        <v>40330</v>
      </c>
      <c r="B284" s="9">
        <v>96</v>
      </c>
      <c r="C284" s="9">
        <v>121.91780822</v>
      </c>
      <c r="D284" s="9">
        <v>115.75342465999999</v>
      </c>
      <c r="E284" s="9">
        <v>146.52660628999999</v>
      </c>
      <c r="F284" s="9">
        <v>123.82308324</v>
      </c>
      <c r="H284" s="9">
        <v>6.2574500000000004</v>
      </c>
    </row>
    <row r="285" spans="1:8" x14ac:dyDescent="0.75">
      <c r="A285" s="8">
        <v>40360</v>
      </c>
      <c r="B285" s="9">
        <v>99.6</v>
      </c>
      <c r="C285" s="9">
        <v>126.96245734</v>
      </c>
      <c r="D285" s="9">
        <v>113.99317406</v>
      </c>
      <c r="E285" s="9">
        <v>137.04772639999999</v>
      </c>
      <c r="F285" s="9">
        <v>122.81351826</v>
      </c>
      <c r="H285" s="9">
        <v>6.2534599999999996</v>
      </c>
    </row>
    <row r="286" spans="1:8" x14ac:dyDescent="0.75">
      <c r="A286" s="8">
        <v>40391</v>
      </c>
      <c r="B286" s="9">
        <v>114.6</v>
      </c>
      <c r="C286" s="9">
        <v>125</v>
      </c>
      <c r="D286" s="9">
        <v>109.5890411</v>
      </c>
      <c r="E286" s="9">
        <v>122.18865415</v>
      </c>
      <c r="F286" s="9">
        <v>119.63857366000001</v>
      </c>
      <c r="H286" s="9">
        <v>6.4552699999999996</v>
      </c>
    </row>
    <row r="287" spans="1:8" x14ac:dyDescent="0.75">
      <c r="A287" s="8">
        <v>40422</v>
      </c>
      <c r="B287" s="9">
        <v>113.3</v>
      </c>
      <c r="C287" s="9">
        <v>122.18430033999999</v>
      </c>
      <c r="D287" s="9">
        <v>112.96928328</v>
      </c>
      <c r="E287" s="9">
        <v>127.20274563</v>
      </c>
      <c r="F287" s="9">
        <v>123.11178923999999</v>
      </c>
      <c r="H287" s="9">
        <v>6.2260400000000002</v>
      </c>
    </row>
    <row r="288" spans="1:8" x14ac:dyDescent="0.75">
      <c r="A288" s="8">
        <v>40452</v>
      </c>
      <c r="B288" s="9">
        <v>100.4</v>
      </c>
      <c r="C288" s="9">
        <v>120.13651877</v>
      </c>
      <c r="D288" s="9">
        <v>114.33447099</v>
      </c>
      <c r="E288" s="9">
        <v>124.65903167</v>
      </c>
      <c r="F288" s="9">
        <v>119.13364076000001</v>
      </c>
      <c r="H288" s="9">
        <v>5.6195199999999996</v>
      </c>
    </row>
    <row r="289" spans="1:8" x14ac:dyDescent="0.75">
      <c r="A289" s="8">
        <v>40483</v>
      </c>
      <c r="B289" s="9">
        <v>97.9</v>
      </c>
      <c r="C289" s="9">
        <v>120.13651877</v>
      </c>
      <c r="D289" s="9">
        <v>114.67576792</v>
      </c>
      <c r="E289" s="9">
        <v>129.36266707999999</v>
      </c>
      <c r="F289" s="9">
        <v>121.71741191</v>
      </c>
      <c r="H289" s="9">
        <v>5.6020200000000004</v>
      </c>
    </row>
    <row r="290" spans="1:8" x14ac:dyDescent="0.75">
      <c r="A290" s="8">
        <v>40513</v>
      </c>
      <c r="B290" s="9">
        <v>105.1</v>
      </c>
      <c r="C290" s="9">
        <v>123.05084746</v>
      </c>
      <c r="D290" s="9">
        <v>127.45762712</v>
      </c>
      <c r="E290" s="9">
        <v>132.84536972999999</v>
      </c>
      <c r="F290" s="9">
        <v>125.21488877</v>
      </c>
      <c r="H290" s="9">
        <v>5.7274900000000004</v>
      </c>
    </row>
    <row r="291" spans="1:8" x14ac:dyDescent="0.75">
      <c r="A291" s="8">
        <v>40544</v>
      </c>
      <c r="B291" s="9">
        <v>101</v>
      </c>
      <c r="C291" s="9">
        <v>122.55639098</v>
      </c>
      <c r="D291" s="9">
        <v>121.05263158</v>
      </c>
      <c r="E291" s="9">
        <v>137.69743105000001</v>
      </c>
      <c r="F291" s="9">
        <v>123.61492392</v>
      </c>
      <c r="H291" s="9">
        <v>6.0278700000000001</v>
      </c>
    </row>
    <row r="292" spans="1:8" x14ac:dyDescent="0.75">
      <c r="A292" s="8">
        <v>40575</v>
      </c>
      <c r="B292" s="9">
        <v>98.6</v>
      </c>
      <c r="C292" s="9">
        <v>127.46478873</v>
      </c>
      <c r="D292" s="9">
        <v>122.53521127</v>
      </c>
      <c r="E292" s="9">
        <v>128.83638508999999</v>
      </c>
      <c r="F292" s="9">
        <v>118.16359036</v>
      </c>
      <c r="H292" s="9">
        <v>6.10304</v>
      </c>
    </row>
    <row r="293" spans="1:8" x14ac:dyDescent="0.75">
      <c r="A293" s="8">
        <v>40603</v>
      </c>
      <c r="B293" s="9">
        <v>102.4</v>
      </c>
      <c r="C293" s="9">
        <v>119.45392491</v>
      </c>
      <c r="D293" s="9">
        <v>125.2559727</v>
      </c>
      <c r="E293" s="9">
        <v>139.87209453</v>
      </c>
      <c r="F293" s="9">
        <v>125.3657997</v>
      </c>
      <c r="H293" s="9">
        <v>6.1398900000000003</v>
      </c>
    </row>
    <row r="294" spans="1:8" x14ac:dyDescent="0.75">
      <c r="A294" s="8">
        <v>40634</v>
      </c>
      <c r="B294" s="9">
        <v>101.6</v>
      </c>
      <c r="C294" s="9">
        <v>120.80536913</v>
      </c>
      <c r="D294" s="9">
        <v>124.83221476999999</v>
      </c>
      <c r="E294" s="9">
        <v>134.62164897</v>
      </c>
      <c r="F294" s="9">
        <v>119.10684972</v>
      </c>
      <c r="H294" s="9">
        <v>6.3077100000000002</v>
      </c>
    </row>
    <row r="295" spans="1:8" x14ac:dyDescent="0.75">
      <c r="A295" s="8">
        <v>40664</v>
      </c>
      <c r="B295" s="9">
        <v>108</v>
      </c>
      <c r="C295" s="9">
        <v>115.35836177</v>
      </c>
      <c r="D295" s="9">
        <v>110.92150171</v>
      </c>
      <c r="E295" s="9">
        <v>137.80000000000001</v>
      </c>
      <c r="F295" s="9">
        <v>117.8</v>
      </c>
      <c r="H295" s="9">
        <v>6.2417100000000003</v>
      </c>
    </row>
    <row r="296" spans="1:8" x14ac:dyDescent="0.75">
      <c r="A296" s="8">
        <v>40695</v>
      </c>
      <c r="B296" s="9">
        <v>107.8</v>
      </c>
      <c r="C296" s="9">
        <v>122.41379310000001</v>
      </c>
      <c r="D296" s="9">
        <v>119.31034483000001</v>
      </c>
      <c r="E296" s="9">
        <v>136.51297138000001</v>
      </c>
      <c r="F296" s="9">
        <v>124.07617134</v>
      </c>
      <c r="H296" s="9">
        <v>6.1672500000000001</v>
      </c>
    </row>
    <row r="297" spans="1:8" x14ac:dyDescent="0.75">
      <c r="A297" s="8">
        <v>40725</v>
      </c>
      <c r="B297" s="9">
        <v>114.3</v>
      </c>
      <c r="C297" s="9">
        <v>117.18213058000001</v>
      </c>
      <c r="D297" s="9">
        <v>114.08934708</v>
      </c>
      <c r="E297" s="9">
        <v>134.28673974</v>
      </c>
      <c r="F297" s="9">
        <v>118.15221509</v>
      </c>
      <c r="H297" s="9">
        <v>5.8212799999999998</v>
      </c>
    </row>
    <row r="298" spans="1:8" x14ac:dyDescent="0.75">
      <c r="A298" s="8">
        <v>40756</v>
      </c>
      <c r="B298" s="9">
        <v>136.5</v>
      </c>
      <c r="C298" s="9">
        <v>112.45791246</v>
      </c>
      <c r="D298" s="9">
        <v>117.50841751</v>
      </c>
      <c r="E298" s="9">
        <v>123.36641456</v>
      </c>
      <c r="F298" s="9">
        <v>113.96907664</v>
      </c>
      <c r="H298" s="9">
        <v>5.8822099999999997</v>
      </c>
    </row>
    <row r="299" spans="1:8" x14ac:dyDescent="0.75">
      <c r="A299" s="8">
        <v>40787</v>
      </c>
      <c r="B299" s="9">
        <v>106.6</v>
      </c>
      <c r="C299" s="9">
        <v>121.88552189000001</v>
      </c>
      <c r="D299" s="9">
        <v>117.50841751</v>
      </c>
      <c r="E299" s="9">
        <v>128.34060504999999</v>
      </c>
      <c r="F299" s="9">
        <v>114.52620444</v>
      </c>
      <c r="H299" s="9">
        <v>5.3095600000000003</v>
      </c>
    </row>
    <row r="300" spans="1:8" x14ac:dyDescent="0.75">
      <c r="A300" s="8">
        <v>40817</v>
      </c>
      <c r="B300" s="9">
        <v>106.4</v>
      </c>
      <c r="C300" s="9">
        <v>129.75778546999999</v>
      </c>
      <c r="D300" s="9">
        <v>117.64705882</v>
      </c>
      <c r="E300" s="9">
        <v>139.62465159000001</v>
      </c>
      <c r="F300" s="9">
        <v>123.11327765999999</v>
      </c>
      <c r="H300" s="9">
        <v>5.05206</v>
      </c>
    </row>
    <row r="301" spans="1:8" x14ac:dyDescent="0.75">
      <c r="A301" s="8">
        <v>40848</v>
      </c>
      <c r="B301" s="9">
        <v>108.8</v>
      </c>
      <c r="C301" s="9">
        <v>133.78378377999999</v>
      </c>
      <c r="D301" s="9">
        <v>127.02702703</v>
      </c>
      <c r="E301" s="9">
        <v>133.44285708000001</v>
      </c>
      <c r="F301" s="9">
        <v>126.46454667</v>
      </c>
      <c r="H301" s="9">
        <v>4.5300200000000004</v>
      </c>
    </row>
    <row r="302" spans="1:8" x14ac:dyDescent="0.75">
      <c r="A302" s="8">
        <v>40878</v>
      </c>
      <c r="B302" s="9">
        <v>115.7</v>
      </c>
      <c r="C302" s="9">
        <v>123.23232323000001</v>
      </c>
      <c r="D302" s="9">
        <v>129.29292928999999</v>
      </c>
      <c r="E302" s="9">
        <v>135.75736734</v>
      </c>
      <c r="F302" s="9">
        <v>130.24031034999999</v>
      </c>
      <c r="H302" s="9">
        <v>4.5536399999999997</v>
      </c>
    </row>
    <row r="303" spans="1:8" x14ac:dyDescent="0.75">
      <c r="A303" s="8">
        <v>40909</v>
      </c>
      <c r="B303" s="9">
        <v>116.26083555</v>
      </c>
      <c r="C303" s="9">
        <v>118.37748344000001</v>
      </c>
      <c r="D303" s="9">
        <v>131.29139072999999</v>
      </c>
      <c r="E303" s="9">
        <v>140.38570738000001</v>
      </c>
      <c r="F303" s="9">
        <v>138.01006748</v>
      </c>
      <c r="H303" s="9">
        <v>4.0246899999999997</v>
      </c>
    </row>
    <row r="304" spans="1:8" x14ac:dyDescent="0.75">
      <c r="A304" s="8">
        <v>40940</v>
      </c>
      <c r="B304" s="9">
        <v>110.0282663</v>
      </c>
      <c r="C304" s="9">
        <v>125.12733446999999</v>
      </c>
      <c r="D304" s="9">
        <v>137.01188454999999</v>
      </c>
      <c r="E304" s="9">
        <v>152.05521060000001</v>
      </c>
      <c r="F304" s="9">
        <v>144.77348979000001</v>
      </c>
      <c r="H304" s="9">
        <v>3.75854</v>
      </c>
    </row>
    <row r="305" spans="1:8" x14ac:dyDescent="0.75">
      <c r="A305" s="8">
        <v>40969</v>
      </c>
      <c r="B305" s="9">
        <v>115.18020752</v>
      </c>
      <c r="C305" s="9">
        <v>120.28753994</v>
      </c>
      <c r="D305" s="9">
        <v>125.55910543</v>
      </c>
      <c r="E305" s="9">
        <v>153.21092365999999</v>
      </c>
      <c r="F305" s="9">
        <v>144.73678763999999</v>
      </c>
      <c r="H305" s="9">
        <v>3.7634599999999998</v>
      </c>
    </row>
    <row r="306" spans="1:8" x14ac:dyDescent="0.75">
      <c r="A306" s="8">
        <v>41000</v>
      </c>
      <c r="B306" s="9">
        <v>113.48930704999999</v>
      </c>
      <c r="C306" s="9">
        <v>128.27804107</v>
      </c>
      <c r="D306" s="9">
        <v>124.17061611</v>
      </c>
      <c r="E306" s="9">
        <v>145.30823215000001</v>
      </c>
      <c r="F306" s="9">
        <v>138.84329287</v>
      </c>
      <c r="H306" s="9">
        <v>3.7605</v>
      </c>
    </row>
    <row r="307" spans="1:8" x14ac:dyDescent="0.75">
      <c r="A307" s="8">
        <v>41030</v>
      </c>
      <c r="B307" s="9">
        <v>116.66888049000001</v>
      </c>
      <c r="C307" s="9">
        <v>134.53125</v>
      </c>
      <c r="D307" s="9">
        <v>128.75</v>
      </c>
      <c r="E307" s="9">
        <v>146.05662613999999</v>
      </c>
      <c r="F307" s="9">
        <v>133.61761028000001</v>
      </c>
      <c r="H307" s="9">
        <v>3.9376699999999998</v>
      </c>
    </row>
    <row r="308" spans="1:8" x14ac:dyDescent="0.75">
      <c r="A308" s="8">
        <v>41061</v>
      </c>
      <c r="B308" s="9">
        <v>123.19219991999999</v>
      </c>
      <c r="C308" s="9">
        <v>128.95569620000001</v>
      </c>
      <c r="D308" s="9">
        <v>134.01898734</v>
      </c>
      <c r="E308" s="9">
        <v>144.55454940000001</v>
      </c>
      <c r="F308" s="9">
        <v>138.05727400999999</v>
      </c>
      <c r="H308" s="9">
        <v>4.0561299999999996</v>
      </c>
    </row>
    <row r="309" spans="1:8" x14ac:dyDescent="0.75">
      <c r="A309" s="8">
        <v>41091</v>
      </c>
      <c r="B309" s="9">
        <v>137.07566371999999</v>
      </c>
      <c r="C309" s="9">
        <v>126.31578947</v>
      </c>
      <c r="D309" s="9">
        <v>135.60371516999999</v>
      </c>
      <c r="E309" s="9">
        <v>142.8833013</v>
      </c>
      <c r="F309" s="9">
        <v>136.21298557</v>
      </c>
      <c r="H309" s="9">
        <v>4.0617599999999996</v>
      </c>
    </row>
    <row r="310" spans="1:8" x14ac:dyDescent="0.75">
      <c r="A310" s="8">
        <v>41122</v>
      </c>
      <c r="B310" s="9">
        <v>150.98927515</v>
      </c>
      <c r="C310" s="9">
        <v>129.25696593999999</v>
      </c>
      <c r="D310" s="9">
        <v>123.374613</v>
      </c>
      <c r="E310" s="9">
        <v>143.25826681999999</v>
      </c>
      <c r="F310" s="9">
        <v>136.12945809000001</v>
      </c>
      <c r="H310" s="9">
        <v>4.0935800000000002</v>
      </c>
    </row>
    <row r="311" spans="1:8" x14ac:dyDescent="0.75">
      <c r="A311" s="8">
        <v>41153</v>
      </c>
      <c r="B311" s="9">
        <v>127.05197769</v>
      </c>
      <c r="C311" s="9">
        <v>134.82972136000001</v>
      </c>
      <c r="D311" s="9">
        <v>123.21981424000001</v>
      </c>
      <c r="E311" s="9">
        <v>133.35346680000001</v>
      </c>
      <c r="F311" s="9">
        <v>129.08082874999999</v>
      </c>
      <c r="H311" s="9">
        <v>4.1079600000000003</v>
      </c>
    </row>
    <row r="312" spans="1:8" x14ac:dyDescent="0.75">
      <c r="A312" s="8">
        <v>41183</v>
      </c>
      <c r="B312" s="9">
        <v>126.91075434</v>
      </c>
      <c r="C312" s="9">
        <v>130.03095974999999</v>
      </c>
      <c r="D312" s="9">
        <v>121.82662539</v>
      </c>
      <c r="E312" s="9">
        <v>138.80463563999999</v>
      </c>
      <c r="F312" s="9">
        <v>127.17274372999999</v>
      </c>
      <c r="H312" s="9">
        <v>4.1881899999999996</v>
      </c>
    </row>
    <row r="313" spans="1:8" x14ac:dyDescent="0.75">
      <c r="A313" s="8">
        <v>41214</v>
      </c>
      <c r="B313" s="9">
        <v>127.56930177</v>
      </c>
      <c r="C313" s="9">
        <v>127.44186046999999</v>
      </c>
      <c r="D313" s="9">
        <v>128.68217053999999</v>
      </c>
      <c r="E313" s="9">
        <v>139.02268262000001</v>
      </c>
      <c r="F313" s="9">
        <v>124.79598434</v>
      </c>
      <c r="H313" s="9">
        <v>4.1505599999999996</v>
      </c>
    </row>
    <row r="314" spans="1:8" x14ac:dyDescent="0.75">
      <c r="A314" s="8">
        <v>41244</v>
      </c>
      <c r="B314" s="9">
        <v>133.15867974</v>
      </c>
      <c r="C314" s="9">
        <v>120.49689441</v>
      </c>
      <c r="D314" s="9">
        <v>129.65838509</v>
      </c>
      <c r="E314" s="9">
        <v>137.29262564000001</v>
      </c>
      <c r="F314" s="9">
        <v>125.65227287</v>
      </c>
      <c r="H314" s="9">
        <v>4.44794</v>
      </c>
    </row>
    <row r="315" spans="1:8" x14ac:dyDescent="0.75">
      <c r="A315" s="8">
        <v>41275</v>
      </c>
      <c r="B315" s="9">
        <v>125.54581675</v>
      </c>
      <c r="C315" s="9">
        <v>122.99212598</v>
      </c>
      <c r="D315" s="9">
        <v>135.59055118000001</v>
      </c>
      <c r="E315" s="9">
        <v>158.01926793999999</v>
      </c>
      <c r="F315" s="9">
        <v>152.00355716999999</v>
      </c>
      <c r="H315" s="9">
        <v>4.1844000000000001</v>
      </c>
    </row>
    <row r="316" spans="1:8" x14ac:dyDescent="0.75">
      <c r="A316" s="8">
        <v>41306</v>
      </c>
      <c r="B316" s="9">
        <v>124.66448457</v>
      </c>
      <c r="C316" s="9">
        <v>119.40993788999999</v>
      </c>
      <c r="D316" s="9">
        <v>129.65838509</v>
      </c>
      <c r="E316" s="9">
        <v>155.84345533000001</v>
      </c>
      <c r="F316" s="9">
        <v>153.62005273</v>
      </c>
      <c r="H316" s="9">
        <v>4.1970200000000002</v>
      </c>
    </row>
    <row r="317" spans="1:8" x14ac:dyDescent="0.75">
      <c r="A317" s="8">
        <v>41334</v>
      </c>
      <c r="B317" s="9">
        <v>125.87523168</v>
      </c>
      <c r="C317" s="9">
        <v>125.19685038999999</v>
      </c>
      <c r="D317" s="9">
        <v>132.28346457000001</v>
      </c>
      <c r="E317" s="9">
        <v>144.61280828</v>
      </c>
      <c r="F317" s="9">
        <v>150.96582022999999</v>
      </c>
      <c r="H317" s="9">
        <v>4.24838</v>
      </c>
    </row>
    <row r="318" spans="1:8" x14ac:dyDescent="0.75">
      <c r="A318" s="8">
        <v>41365</v>
      </c>
      <c r="B318" s="9">
        <v>124.78841582</v>
      </c>
      <c r="C318" s="9">
        <v>129.82731554</v>
      </c>
      <c r="D318" s="9">
        <v>128.10047096</v>
      </c>
      <c r="E318" s="9">
        <v>164.6183839</v>
      </c>
      <c r="F318" s="9">
        <v>142.31888609999999</v>
      </c>
      <c r="H318" s="9">
        <v>4.1646999999999998</v>
      </c>
    </row>
    <row r="319" spans="1:8" x14ac:dyDescent="0.75">
      <c r="A319" s="8">
        <v>41395</v>
      </c>
      <c r="B319" s="9">
        <v>130.66378721999999</v>
      </c>
      <c r="C319" s="9">
        <v>133.07332292999999</v>
      </c>
      <c r="D319" s="9">
        <v>124.65116279</v>
      </c>
      <c r="E319" s="9">
        <v>152.71035556999999</v>
      </c>
      <c r="F319" s="9">
        <v>132.73918190000001</v>
      </c>
      <c r="H319" s="9">
        <v>4.1702300000000001</v>
      </c>
    </row>
    <row r="320" spans="1:8" x14ac:dyDescent="0.75">
      <c r="A320" s="8">
        <v>41426</v>
      </c>
      <c r="B320" s="9">
        <v>141.50309587999999</v>
      </c>
      <c r="C320" s="9">
        <v>127.34254992</v>
      </c>
      <c r="D320" s="9">
        <v>132.87250384000001</v>
      </c>
      <c r="E320" s="9">
        <v>167.04485603000001</v>
      </c>
      <c r="F320" s="9">
        <v>146.32573790000001</v>
      </c>
      <c r="G320" s="9">
        <v>4818.8999999999996</v>
      </c>
      <c r="H320" s="9">
        <v>4.4658199999999999</v>
      </c>
    </row>
    <row r="321" spans="1:8" x14ac:dyDescent="0.75">
      <c r="A321" s="8">
        <v>41456</v>
      </c>
      <c r="B321" s="9">
        <v>157.95620539999999</v>
      </c>
      <c r="C321" s="9">
        <v>123.12703583</v>
      </c>
      <c r="D321" s="9">
        <v>127.68729642</v>
      </c>
      <c r="E321" s="9">
        <v>155.38537106000001</v>
      </c>
      <c r="F321" s="9">
        <v>147.30840305999999</v>
      </c>
      <c r="G321" s="9">
        <v>4610.38</v>
      </c>
      <c r="H321" s="9">
        <v>4.8868799999999997</v>
      </c>
    </row>
    <row r="322" spans="1:8" x14ac:dyDescent="0.75">
      <c r="A322" s="8">
        <v>41487</v>
      </c>
      <c r="B322" s="9">
        <v>154.07715979</v>
      </c>
      <c r="C322" s="9">
        <v>128.70370370000001</v>
      </c>
      <c r="D322" s="9">
        <v>125.30864198</v>
      </c>
      <c r="E322" s="9">
        <v>162.30723262000001</v>
      </c>
      <c r="F322" s="9">
        <v>151.85799727</v>
      </c>
      <c r="G322" s="9">
        <v>4195.09</v>
      </c>
      <c r="H322" s="9">
        <v>5.4192499999999999</v>
      </c>
    </row>
    <row r="323" spans="1:8" x14ac:dyDescent="0.75">
      <c r="A323" s="8">
        <v>41518</v>
      </c>
      <c r="B323" s="9">
        <v>141.48445053</v>
      </c>
      <c r="C323" s="9">
        <v>137.07865168999999</v>
      </c>
      <c r="D323" s="9">
        <v>123.59550562</v>
      </c>
      <c r="E323" s="9">
        <v>160.89682106000001</v>
      </c>
      <c r="F323" s="9">
        <v>150.86106737</v>
      </c>
      <c r="G323" s="9">
        <v>4316.18</v>
      </c>
      <c r="H323" s="9">
        <v>5.7011900000000004</v>
      </c>
    </row>
    <row r="324" spans="1:8" x14ac:dyDescent="0.75">
      <c r="A324" s="8">
        <v>41548</v>
      </c>
      <c r="B324" s="9">
        <v>143.27234084</v>
      </c>
      <c r="C324" s="9">
        <v>130.8623298</v>
      </c>
      <c r="D324" s="9">
        <v>129.45205479000001</v>
      </c>
      <c r="E324" s="9">
        <v>157.04289145000001</v>
      </c>
      <c r="F324" s="9">
        <v>146.77196960000001</v>
      </c>
      <c r="G324" s="9">
        <v>4510.63</v>
      </c>
      <c r="H324" s="9">
        <v>5.7037800000000001</v>
      </c>
    </row>
    <row r="325" spans="1:8" x14ac:dyDescent="0.75">
      <c r="A325" s="8">
        <v>41579</v>
      </c>
      <c r="B325" s="9">
        <v>150.13367769000001</v>
      </c>
      <c r="C325" s="9">
        <v>132.83582089999999</v>
      </c>
      <c r="D325" s="9">
        <v>133.88059701</v>
      </c>
      <c r="E325" s="9">
        <v>164.09008617999999</v>
      </c>
      <c r="F325" s="9">
        <v>155.66048459999999</v>
      </c>
      <c r="G325" s="9">
        <v>4256.4399999999996</v>
      </c>
      <c r="H325" s="9">
        <v>5.96211</v>
      </c>
    </row>
    <row r="326" spans="1:8" x14ac:dyDescent="0.75">
      <c r="A326" s="8">
        <v>41609</v>
      </c>
      <c r="B326" s="9">
        <v>170.73451851999999</v>
      </c>
      <c r="C326" s="9">
        <v>125.81602374000001</v>
      </c>
      <c r="D326" s="9">
        <v>131.60237389</v>
      </c>
      <c r="E326" s="9">
        <v>168.38401569000001</v>
      </c>
      <c r="F326" s="9">
        <v>154.30419653000001</v>
      </c>
      <c r="G326" s="9">
        <v>4274.18</v>
      </c>
      <c r="H326" s="9">
        <v>6.2337699999999998</v>
      </c>
    </row>
    <row r="327" spans="1:8" x14ac:dyDescent="0.75">
      <c r="A327" s="8">
        <v>41640</v>
      </c>
      <c r="B327" s="9">
        <v>155.67149008000001</v>
      </c>
      <c r="C327" s="9">
        <v>130.45774648</v>
      </c>
      <c r="D327" s="9">
        <v>137.5</v>
      </c>
      <c r="E327" s="9">
        <v>168.94682435000001</v>
      </c>
      <c r="F327" s="9">
        <v>158.94340328000001</v>
      </c>
      <c r="G327" s="9">
        <v>4418.76</v>
      </c>
      <c r="H327" s="9">
        <v>5.88504</v>
      </c>
    </row>
    <row r="328" spans="1:8" x14ac:dyDescent="0.75">
      <c r="A328" s="8">
        <v>41671</v>
      </c>
      <c r="B328" s="9">
        <v>148.11470514000001</v>
      </c>
      <c r="C328" s="9">
        <v>139.88919668</v>
      </c>
      <c r="D328" s="9">
        <v>143.28254848</v>
      </c>
      <c r="E328" s="9">
        <v>147.81589545</v>
      </c>
      <c r="F328" s="9">
        <v>145.99205393</v>
      </c>
      <c r="G328" s="9">
        <v>4620.22</v>
      </c>
      <c r="H328" s="9">
        <v>5.8637699999999997</v>
      </c>
    </row>
    <row r="329" spans="1:8" x14ac:dyDescent="0.75">
      <c r="A329" s="8">
        <v>41699</v>
      </c>
      <c r="B329" s="9">
        <v>147.20280919999999</v>
      </c>
      <c r="C329" s="9">
        <v>139.38053097</v>
      </c>
      <c r="D329" s="9">
        <v>135.25073746000001</v>
      </c>
      <c r="E329" s="9">
        <v>145.45078759</v>
      </c>
      <c r="F329" s="9">
        <v>133.76778499</v>
      </c>
      <c r="G329" s="9">
        <v>4768.28</v>
      </c>
      <c r="H329" s="9">
        <v>5.8875799999999998</v>
      </c>
    </row>
    <row r="330" spans="1:8" x14ac:dyDescent="0.75">
      <c r="A330" s="8">
        <v>41730</v>
      </c>
      <c r="B330" s="9">
        <v>144.65576231</v>
      </c>
      <c r="C330" s="9">
        <v>141.32352940999999</v>
      </c>
      <c r="D330" s="9">
        <v>131.02941175999999</v>
      </c>
      <c r="E330" s="9">
        <v>151.58694034999999</v>
      </c>
      <c r="F330" s="9">
        <v>133.35374519000001</v>
      </c>
      <c r="G330" s="9">
        <v>4840.1499999999996</v>
      </c>
      <c r="H330" s="9">
        <v>5.8470000000000004</v>
      </c>
    </row>
    <row r="331" spans="1:8" x14ac:dyDescent="0.75">
      <c r="A331" s="8">
        <v>41760</v>
      </c>
      <c r="B331" s="9">
        <v>149.98432898999999</v>
      </c>
      <c r="C331" s="9">
        <v>137.28070174999999</v>
      </c>
      <c r="D331" s="9">
        <v>134.06432749000001</v>
      </c>
      <c r="E331" s="9">
        <v>150.15495921999999</v>
      </c>
      <c r="F331" s="9">
        <v>134.67676170999999</v>
      </c>
      <c r="G331" s="9">
        <v>4893.91</v>
      </c>
      <c r="H331" s="9">
        <v>5.8458399999999999</v>
      </c>
    </row>
    <row r="332" spans="1:8" x14ac:dyDescent="0.75">
      <c r="A332" s="8">
        <v>41791</v>
      </c>
      <c r="B332" s="9">
        <v>153.75778769999999</v>
      </c>
      <c r="C332" s="9">
        <v>133.81502889999999</v>
      </c>
      <c r="D332" s="9">
        <v>136.2716763</v>
      </c>
      <c r="E332" s="9">
        <v>138.3462542</v>
      </c>
      <c r="F332" s="9">
        <v>136.89324465999999</v>
      </c>
      <c r="G332" s="9">
        <v>4878.58</v>
      </c>
      <c r="H332" s="9">
        <v>5.8734700000000002</v>
      </c>
    </row>
    <row r="333" spans="1:8" x14ac:dyDescent="0.75">
      <c r="A333" s="8">
        <v>41821</v>
      </c>
      <c r="B333" s="9">
        <v>188.29559061</v>
      </c>
      <c r="C333" s="9">
        <v>128.67435158999999</v>
      </c>
      <c r="D333" s="9">
        <v>129.53890490000001</v>
      </c>
      <c r="E333" s="9">
        <v>130.43447541</v>
      </c>
      <c r="F333" s="9">
        <v>139.65331861000001</v>
      </c>
      <c r="G333" s="9">
        <v>5088.8</v>
      </c>
      <c r="H333" s="9">
        <v>6.5472700000000001</v>
      </c>
    </row>
    <row r="334" spans="1:8" x14ac:dyDescent="0.75">
      <c r="A334" s="8">
        <v>41852</v>
      </c>
      <c r="B334" s="9">
        <v>167.71718913000001</v>
      </c>
      <c r="C334" s="9">
        <v>142.44604317</v>
      </c>
      <c r="D334" s="9">
        <v>125.4676259</v>
      </c>
      <c r="E334" s="9">
        <v>151.98341065</v>
      </c>
      <c r="F334" s="9">
        <v>135.07728184999999</v>
      </c>
      <c r="G334" s="9">
        <v>5136.8599999999997</v>
      </c>
      <c r="H334" s="9">
        <v>5.8485100000000001</v>
      </c>
    </row>
    <row r="335" spans="1:8" x14ac:dyDescent="0.75">
      <c r="A335" s="8">
        <v>41883</v>
      </c>
      <c r="B335" s="9">
        <v>166.82326130999999</v>
      </c>
      <c r="C335" s="9">
        <v>130.60344828000001</v>
      </c>
      <c r="D335" s="9">
        <v>122.55747126</v>
      </c>
      <c r="E335" s="9">
        <v>156.49719555999999</v>
      </c>
      <c r="F335" s="9">
        <v>129.55665481</v>
      </c>
      <c r="G335" s="9">
        <v>5137.58</v>
      </c>
      <c r="H335" s="9">
        <v>5.84415</v>
      </c>
    </row>
    <row r="336" spans="1:8" x14ac:dyDescent="0.75">
      <c r="A336" s="8">
        <v>41913</v>
      </c>
      <c r="B336" s="9">
        <v>168.47163006</v>
      </c>
      <c r="C336" s="9">
        <v>129.41176471</v>
      </c>
      <c r="D336" s="9">
        <v>119.51219512</v>
      </c>
      <c r="E336" s="9">
        <v>158.07097909999999</v>
      </c>
      <c r="F336" s="9">
        <v>130.57221043000001</v>
      </c>
      <c r="G336" s="9">
        <v>5089.55</v>
      </c>
      <c r="H336" s="9">
        <v>5.80647</v>
      </c>
    </row>
    <row r="337" spans="1:8" x14ac:dyDescent="0.75">
      <c r="A337" s="8">
        <v>41944</v>
      </c>
      <c r="B337" s="9">
        <v>167.31589049999999</v>
      </c>
      <c r="C337" s="9">
        <v>124.49856733999999</v>
      </c>
      <c r="D337" s="9">
        <v>126.50429799</v>
      </c>
      <c r="E337" s="9">
        <v>163.84989049000001</v>
      </c>
      <c r="F337" s="9">
        <v>131.70642032999999</v>
      </c>
      <c r="G337" s="9">
        <v>5149.8900000000003</v>
      </c>
      <c r="H337" s="9">
        <v>5.8011100000000004</v>
      </c>
    </row>
    <row r="338" spans="1:8" x14ac:dyDescent="0.75">
      <c r="A338" s="8">
        <v>41974</v>
      </c>
      <c r="B338" s="9">
        <v>177.18730606</v>
      </c>
      <c r="C338" s="9">
        <v>121.31616595</v>
      </c>
      <c r="D338" s="9">
        <v>131.47353362000001</v>
      </c>
      <c r="E338" s="9">
        <v>141.71894685000001</v>
      </c>
      <c r="F338" s="9">
        <v>143.26238065999999</v>
      </c>
      <c r="G338" s="9">
        <v>5226.95</v>
      </c>
      <c r="H338" s="9">
        <v>6.1239999999999997</v>
      </c>
    </row>
    <row r="339" spans="1:8" x14ac:dyDescent="0.75">
      <c r="A339" s="8">
        <v>42005</v>
      </c>
      <c r="B339" s="9">
        <v>172.58110300999999</v>
      </c>
      <c r="C339" s="9">
        <v>123.57142856999999</v>
      </c>
      <c r="D339" s="9">
        <v>132.85714286000001</v>
      </c>
      <c r="E339" s="9">
        <v>137.85799913</v>
      </c>
      <c r="F339" s="9">
        <v>134.67585398</v>
      </c>
      <c r="G339" s="9">
        <v>5289.4</v>
      </c>
      <c r="H339" s="9">
        <v>5.8409000000000004</v>
      </c>
    </row>
    <row r="340" spans="1:8" x14ac:dyDescent="0.75">
      <c r="A340" s="8">
        <v>42036</v>
      </c>
      <c r="B340" s="9">
        <v>171.88618388</v>
      </c>
      <c r="C340" s="9">
        <v>130.14285713999999</v>
      </c>
      <c r="D340" s="9">
        <v>136.62374821</v>
      </c>
      <c r="E340" s="9">
        <v>140.93266492000001</v>
      </c>
      <c r="F340" s="9">
        <v>130.20702901000001</v>
      </c>
      <c r="G340" s="9">
        <v>5450.29</v>
      </c>
      <c r="H340" s="9">
        <v>5.6509299999999998</v>
      </c>
    </row>
    <row r="341" spans="1:8" x14ac:dyDescent="0.75">
      <c r="A341" s="8">
        <v>42064</v>
      </c>
      <c r="B341" s="9">
        <v>176.19472295</v>
      </c>
      <c r="C341" s="9">
        <v>134</v>
      </c>
      <c r="D341" s="9">
        <v>130.71428571000001</v>
      </c>
      <c r="E341" s="9">
        <v>157.55809436000001</v>
      </c>
      <c r="F341" s="9">
        <v>131.66564030000001</v>
      </c>
      <c r="G341" s="9">
        <v>5518.68</v>
      </c>
      <c r="H341" s="9">
        <v>6.44529</v>
      </c>
    </row>
    <row r="342" spans="1:8" x14ac:dyDescent="0.75">
      <c r="A342" s="8">
        <v>42095</v>
      </c>
      <c r="B342" s="9">
        <v>178.14103449000001</v>
      </c>
      <c r="C342" s="9">
        <v>135.15406161999999</v>
      </c>
      <c r="D342" s="9">
        <v>129.83193277000001</v>
      </c>
      <c r="E342" s="9">
        <v>146.38120678999999</v>
      </c>
      <c r="F342" s="9">
        <v>135.45291929999999</v>
      </c>
      <c r="G342" s="9">
        <v>5086.43</v>
      </c>
      <c r="H342" s="9">
        <v>5.74268</v>
      </c>
    </row>
    <row r="343" spans="1:8" x14ac:dyDescent="0.75">
      <c r="A343" s="8">
        <v>42125</v>
      </c>
      <c r="B343" s="9">
        <v>180.81254569999999</v>
      </c>
      <c r="C343" s="9">
        <v>138.1101774</v>
      </c>
      <c r="D343" s="9">
        <v>125.59817346</v>
      </c>
      <c r="E343" s="9">
        <v>145.89826126</v>
      </c>
      <c r="F343" s="9">
        <v>132.20614173000001</v>
      </c>
      <c r="G343" s="9">
        <v>5216.38</v>
      </c>
      <c r="H343" s="9">
        <v>5.6018299999999996</v>
      </c>
    </row>
    <row r="344" spans="1:8" x14ac:dyDescent="0.75">
      <c r="A344" s="8">
        <v>42156</v>
      </c>
      <c r="B344" s="9">
        <v>188.10263548</v>
      </c>
      <c r="C344" s="9">
        <v>125.31468531</v>
      </c>
      <c r="D344" s="9">
        <v>132.72727273000001</v>
      </c>
      <c r="E344" s="9">
        <v>132.35998434000001</v>
      </c>
      <c r="F344" s="9">
        <v>137.41915527</v>
      </c>
      <c r="G344" s="9">
        <v>4910.66</v>
      </c>
      <c r="H344" s="9">
        <v>5.6745700000000001</v>
      </c>
    </row>
    <row r="345" spans="1:8" x14ac:dyDescent="0.75">
      <c r="A345" s="8">
        <v>42186</v>
      </c>
      <c r="B345" s="9">
        <v>204.22908032000001</v>
      </c>
      <c r="C345" s="9">
        <v>121.53846154</v>
      </c>
      <c r="D345" s="9">
        <v>132.86713287000001</v>
      </c>
      <c r="E345" s="9">
        <v>132.14064177</v>
      </c>
      <c r="F345" s="9">
        <v>137.76723519999999</v>
      </c>
      <c r="G345" s="9">
        <v>4802.53</v>
      </c>
      <c r="H345" s="9">
        <v>5.6232199999999999</v>
      </c>
    </row>
    <row r="346" spans="1:8" x14ac:dyDescent="0.75">
      <c r="A346" s="8">
        <v>42217</v>
      </c>
      <c r="B346" s="9">
        <v>177.48130237999999</v>
      </c>
      <c r="C346" s="9">
        <v>121.22905028</v>
      </c>
      <c r="D346" s="9">
        <v>119.27374302</v>
      </c>
      <c r="E346" s="9">
        <v>151.37504064999999</v>
      </c>
      <c r="F346" s="9">
        <v>132.29108446000001</v>
      </c>
      <c r="G346" s="9">
        <v>4509.6099999999997</v>
      </c>
      <c r="H346" s="9">
        <v>5.7439900000000002</v>
      </c>
    </row>
    <row r="347" spans="1:8" x14ac:dyDescent="0.75">
      <c r="A347" s="8">
        <v>42248</v>
      </c>
      <c r="B347" s="9">
        <v>178.58956886999999</v>
      </c>
      <c r="C347" s="9">
        <v>130.68340307</v>
      </c>
      <c r="D347" s="9">
        <v>119.0070922</v>
      </c>
      <c r="E347" s="9">
        <v>150.23397585999999</v>
      </c>
      <c r="F347" s="9">
        <v>126.63846228</v>
      </c>
      <c r="G347" s="9">
        <v>4223.91</v>
      </c>
      <c r="H347" s="9">
        <v>8.1248400000000007</v>
      </c>
    </row>
    <row r="348" spans="1:8" x14ac:dyDescent="0.75">
      <c r="A348" s="8">
        <v>42278</v>
      </c>
      <c r="B348" s="9">
        <v>183.10491811</v>
      </c>
      <c r="C348" s="9">
        <v>123.32402235000001</v>
      </c>
      <c r="D348" s="9">
        <v>123.91608392000001</v>
      </c>
      <c r="E348" s="9">
        <v>147.2520926</v>
      </c>
      <c r="F348" s="9">
        <v>127.28698298</v>
      </c>
      <c r="G348" s="9">
        <v>4455.18</v>
      </c>
      <c r="H348" s="9">
        <v>5.8671899999999999</v>
      </c>
    </row>
    <row r="349" spans="1:8" x14ac:dyDescent="0.75">
      <c r="A349" s="8">
        <v>42309</v>
      </c>
      <c r="B349" s="9">
        <v>183.54009027999999</v>
      </c>
      <c r="C349" s="9">
        <v>130.37447989</v>
      </c>
      <c r="D349" s="9">
        <v>128.61111111</v>
      </c>
      <c r="E349" s="9">
        <v>144.82203003000001</v>
      </c>
      <c r="F349" s="9">
        <v>128.81356135999999</v>
      </c>
      <c r="G349" s="9">
        <v>4446.46</v>
      </c>
      <c r="H349" s="9">
        <v>5.8687699999999996</v>
      </c>
    </row>
    <row r="350" spans="1:8" x14ac:dyDescent="0.75">
      <c r="A350" s="8">
        <v>42339</v>
      </c>
      <c r="B350" s="9">
        <v>197.33728539000001</v>
      </c>
      <c r="C350" s="9">
        <v>124.02777777999999</v>
      </c>
      <c r="D350" s="9">
        <v>138.05555555999999</v>
      </c>
      <c r="E350" s="9">
        <v>131.19022475</v>
      </c>
      <c r="F350" s="9">
        <v>137.87857074999999</v>
      </c>
      <c r="G350" s="9">
        <v>4593.01</v>
      </c>
      <c r="H350" s="9">
        <v>7.3303200000000004</v>
      </c>
    </row>
    <row r="351" spans="1:8" x14ac:dyDescent="0.75">
      <c r="A351" s="8">
        <v>42370</v>
      </c>
      <c r="B351" s="9">
        <v>194.88610553000001</v>
      </c>
      <c r="C351" s="9">
        <v>127.17241378999999</v>
      </c>
      <c r="D351" s="9">
        <v>144.95159059</v>
      </c>
      <c r="E351" s="9">
        <v>123.69087372</v>
      </c>
      <c r="F351" s="9">
        <v>135.15566523999999</v>
      </c>
      <c r="G351" s="9">
        <v>4615.16</v>
      </c>
      <c r="H351" s="9">
        <v>5.3953300000000004</v>
      </c>
    </row>
    <row r="352" spans="1:8" x14ac:dyDescent="0.75">
      <c r="A352" s="8">
        <v>42401</v>
      </c>
      <c r="B352" s="9">
        <v>190.07569771999999</v>
      </c>
      <c r="C352" s="9">
        <v>131.18881119</v>
      </c>
      <c r="D352" s="9">
        <v>136.77510608</v>
      </c>
      <c r="E352" s="9">
        <v>128.43383449999999</v>
      </c>
      <c r="F352" s="9">
        <v>130.14466340000001</v>
      </c>
      <c r="G352" s="9">
        <v>4770.96</v>
      </c>
      <c r="H352" s="9">
        <v>5.1123399999999997</v>
      </c>
    </row>
    <row r="353" spans="1:8" x14ac:dyDescent="0.75">
      <c r="A353" s="8">
        <v>42430</v>
      </c>
      <c r="B353" s="9">
        <v>195.71446391999999</v>
      </c>
      <c r="C353" s="9">
        <v>139.59183673000001</v>
      </c>
      <c r="D353" s="9">
        <v>132.78911565000001</v>
      </c>
      <c r="E353" s="9">
        <v>139.71039929</v>
      </c>
      <c r="F353" s="9">
        <v>115.82516862</v>
      </c>
      <c r="G353" s="9">
        <v>4845.37</v>
      </c>
      <c r="H353" s="9">
        <v>4.8602499999999997</v>
      </c>
    </row>
    <row r="354" spans="1:8" x14ac:dyDescent="0.75">
      <c r="A354" s="8">
        <v>42461</v>
      </c>
      <c r="B354" s="9">
        <v>198.10075011999999</v>
      </c>
      <c r="C354" s="9">
        <v>142.54445964000001</v>
      </c>
      <c r="D354" s="9">
        <v>122.84541724</v>
      </c>
      <c r="E354" s="9">
        <v>148.04637034000001</v>
      </c>
      <c r="F354" s="9">
        <v>110.97754273</v>
      </c>
      <c r="G354" s="9">
        <v>4838.58</v>
      </c>
      <c r="H354" s="9">
        <v>4.9856699999999998</v>
      </c>
    </row>
    <row r="355" spans="1:8" x14ac:dyDescent="0.75">
      <c r="A355" s="8">
        <v>42491</v>
      </c>
      <c r="B355" s="9">
        <v>205.37007696000001</v>
      </c>
      <c r="C355" s="9">
        <v>132.28454171999999</v>
      </c>
      <c r="D355" s="9">
        <v>129.31506848999999</v>
      </c>
      <c r="E355" s="9">
        <v>139.69117711000001</v>
      </c>
      <c r="F355" s="9">
        <v>132.15687023000001</v>
      </c>
      <c r="G355" s="9">
        <v>4796.87</v>
      </c>
      <c r="H355" s="9">
        <v>4.8603399999999999</v>
      </c>
    </row>
    <row r="356" spans="1:8" x14ac:dyDescent="0.75">
      <c r="A356" s="8">
        <v>42522</v>
      </c>
      <c r="B356" s="9">
        <v>218.73583282999999</v>
      </c>
      <c r="C356" s="9">
        <v>132.97002724999999</v>
      </c>
      <c r="D356" s="9">
        <v>139.10081743999999</v>
      </c>
      <c r="E356" s="9">
        <v>128.76444537</v>
      </c>
      <c r="F356" s="9">
        <v>133.30602062</v>
      </c>
      <c r="G356" s="9">
        <v>5016.6499999999996</v>
      </c>
      <c r="H356" s="9">
        <v>4.8355399999999999</v>
      </c>
    </row>
    <row r="357" spans="1:8" x14ac:dyDescent="0.75">
      <c r="A357" s="8">
        <v>42552</v>
      </c>
      <c r="B357" s="9">
        <v>217.11760735999999</v>
      </c>
      <c r="C357" s="9">
        <v>129.60436562000001</v>
      </c>
      <c r="D357" s="9">
        <v>142.97407913000001</v>
      </c>
      <c r="E357" s="9">
        <v>120.71711672000001</v>
      </c>
      <c r="F357" s="9">
        <v>131.4376067</v>
      </c>
      <c r="G357" s="9">
        <v>5215.99</v>
      </c>
      <c r="H357" s="9">
        <v>4.6214599999999999</v>
      </c>
    </row>
    <row r="358" spans="1:8" x14ac:dyDescent="0.75">
      <c r="A358" s="8">
        <v>42583</v>
      </c>
      <c r="B358" s="9">
        <v>197.73945558</v>
      </c>
      <c r="C358" s="9">
        <v>127.52043596999999</v>
      </c>
      <c r="D358" s="9">
        <v>135.96730245000001</v>
      </c>
      <c r="E358" s="9">
        <v>122.45551306999999</v>
      </c>
      <c r="F358" s="9">
        <v>132.4019677</v>
      </c>
      <c r="G358" s="9">
        <v>5386.08</v>
      </c>
      <c r="H358" s="9">
        <v>4.8</v>
      </c>
    </row>
    <row r="359" spans="1:8" x14ac:dyDescent="0.75">
      <c r="A359" s="8">
        <v>42614</v>
      </c>
      <c r="B359" s="9">
        <v>197.54686681999999</v>
      </c>
      <c r="C359" s="9">
        <v>138.87362637000001</v>
      </c>
      <c r="D359" s="9">
        <v>127.06043956000001</v>
      </c>
      <c r="E359" s="9">
        <v>134.26080629</v>
      </c>
      <c r="F359" s="9">
        <v>132.26325928</v>
      </c>
      <c r="G359" s="9">
        <v>5364.8</v>
      </c>
      <c r="H359" s="9">
        <v>5.3764700000000003</v>
      </c>
    </row>
    <row r="360" spans="1:8" x14ac:dyDescent="0.75">
      <c r="A360" s="8">
        <v>42644</v>
      </c>
      <c r="B360" s="9">
        <v>197.93183612000001</v>
      </c>
      <c r="C360" s="9">
        <v>133.83768913</v>
      </c>
      <c r="D360" s="9">
        <v>133.83768913</v>
      </c>
      <c r="E360" s="9">
        <v>133.62380784999999</v>
      </c>
      <c r="F360" s="9">
        <v>124.78923813</v>
      </c>
      <c r="G360" s="9">
        <v>5422.54</v>
      </c>
      <c r="H360" s="9">
        <v>4.2048899999999998</v>
      </c>
    </row>
    <row r="361" spans="1:8" x14ac:dyDescent="0.75">
      <c r="A361" s="8">
        <v>42675</v>
      </c>
      <c r="B361" s="9">
        <v>201.67852880999999</v>
      </c>
      <c r="C361" s="9">
        <v>136.17606602000001</v>
      </c>
      <c r="D361" s="9">
        <v>133.70013754999999</v>
      </c>
      <c r="E361" s="9">
        <v>129.57515269999999</v>
      </c>
      <c r="F361" s="9">
        <v>126.79954137999999</v>
      </c>
      <c r="G361" s="9">
        <v>5148.91</v>
      </c>
      <c r="H361" s="9">
        <v>4.1731299999999996</v>
      </c>
    </row>
    <row r="362" spans="1:8" x14ac:dyDescent="0.75">
      <c r="A362" s="8">
        <v>42705</v>
      </c>
      <c r="B362" s="9">
        <v>217.97604135</v>
      </c>
      <c r="C362" s="9">
        <v>123.93397524</v>
      </c>
      <c r="D362" s="9">
        <v>139.75240715000001</v>
      </c>
      <c r="E362" s="9">
        <v>129.45357496</v>
      </c>
      <c r="F362" s="9">
        <v>131.68560212</v>
      </c>
      <c r="G362" s="9">
        <v>5296.71</v>
      </c>
      <c r="H362" s="9">
        <v>4.1485300000000001</v>
      </c>
    </row>
    <row r="363" spans="1:8" x14ac:dyDescent="0.75">
      <c r="A363" s="8">
        <v>42736</v>
      </c>
      <c r="B363" s="9">
        <v>207.22272226000001</v>
      </c>
      <c r="C363" s="9">
        <v>119.32432432</v>
      </c>
      <c r="D363" s="9">
        <v>147.09066306</v>
      </c>
      <c r="E363" s="9">
        <v>134.05937091000001</v>
      </c>
      <c r="F363" s="9">
        <v>132.32679166</v>
      </c>
      <c r="G363" s="9">
        <v>5294.1</v>
      </c>
      <c r="H363" s="9">
        <v>4.1031000000000004</v>
      </c>
    </row>
    <row r="364" spans="1:8" x14ac:dyDescent="0.75">
      <c r="A364" s="8">
        <v>42767</v>
      </c>
      <c r="B364" s="9">
        <v>197.14938936999999</v>
      </c>
      <c r="C364" s="9">
        <v>134.76454294000001</v>
      </c>
      <c r="D364" s="9">
        <v>144.59833795</v>
      </c>
      <c r="E364" s="9">
        <v>140.36468382000001</v>
      </c>
      <c r="F364" s="9">
        <v>131.31825628000001</v>
      </c>
      <c r="G364" s="9">
        <v>5386.69</v>
      </c>
      <c r="H364" s="9">
        <v>4.2367499999999998</v>
      </c>
    </row>
    <row r="365" spans="1:8" x14ac:dyDescent="0.75">
      <c r="A365" s="8">
        <v>42795</v>
      </c>
      <c r="B365" s="9">
        <v>204.01657116999999</v>
      </c>
      <c r="C365" s="9">
        <v>154.25824176</v>
      </c>
      <c r="D365" s="9">
        <v>137.08791209</v>
      </c>
      <c r="E365" s="9">
        <v>149.74253279000001</v>
      </c>
      <c r="F365" s="9">
        <v>130.29638451</v>
      </c>
      <c r="G365" s="9">
        <v>5568.11</v>
      </c>
      <c r="H365" s="9">
        <v>4.3143200000000004</v>
      </c>
    </row>
    <row r="366" spans="1:8" x14ac:dyDescent="0.75">
      <c r="A366" s="8">
        <v>42826</v>
      </c>
      <c r="B366" s="9">
        <v>206.49979461999999</v>
      </c>
      <c r="C366" s="9">
        <v>141.46005510000001</v>
      </c>
      <c r="D366" s="9">
        <v>131.68044076999999</v>
      </c>
      <c r="E366" s="9">
        <v>146.65788609000001</v>
      </c>
      <c r="F366" s="9">
        <v>130.00081125</v>
      </c>
      <c r="G366" s="9">
        <v>5685.3</v>
      </c>
      <c r="H366" s="9">
        <v>4.3420399999999999</v>
      </c>
    </row>
    <row r="367" spans="1:8" x14ac:dyDescent="0.75">
      <c r="A367" s="8">
        <v>42856</v>
      </c>
      <c r="B367" s="9">
        <v>214.26462755</v>
      </c>
      <c r="C367" s="9">
        <v>137.65347885</v>
      </c>
      <c r="D367" s="9">
        <v>129.74079126999999</v>
      </c>
      <c r="E367" s="9">
        <v>138.28114453000001</v>
      </c>
      <c r="F367" s="9">
        <v>135.82986269</v>
      </c>
      <c r="G367" s="9">
        <v>5738.15</v>
      </c>
      <c r="H367" s="9">
        <v>4.2619699999999998</v>
      </c>
    </row>
    <row r="368" spans="1:8" x14ac:dyDescent="0.75">
      <c r="A368" s="8">
        <v>42887</v>
      </c>
      <c r="B368" s="9">
        <v>232.4109417</v>
      </c>
      <c r="C368" s="9">
        <v>123.05555556</v>
      </c>
      <c r="D368" s="9">
        <v>141.25874125999999</v>
      </c>
      <c r="E368" s="9">
        <v>133.25686769999999</v>
      </c>
      <c r="F368" s="9">
        <v>149.34068467</v>
      </c>
      <c r="G368" s="9">
        <v>5829.71</v>
      </c>
      <c r="H368" s="9">
        <v>4.2284199999999998</v>
      </c>
    </row>
    <row r="369" spans="1:8" x14ac:dyDescent="0.75">
      <c r="A369" s="8">
        <v>42917</v>
      </c>
      <c r="B369" s="9">
        <v>209.94819129999999</v>
      </c>
      <c r="C369" s="9">
        <v>127.88461538</v>
      </c>
      <c r="D369" s="9">
        <v>153.52697094999999</v>
      </c>
      <c r="E369" s="9">
        <v>135.46757735</v>
      </c>
      <c r="F369" s="9">
        <v>158.13701603000001</v>
      </c>
      <c r="G369" s="9">
        <v>5840.94</v>
      </c>
      <c r="H369" s="9">
        <v>4.2547300000000003</v>
      </c>
    </row>
    <row r="370" spans="1:8" x14ac:dyDescent="0.75">
      <c r="A370" s="8">
        <v>42948</v>
      </c>
      <c r="B370" s="9">
        <v>202.0570525</v>
      </c>
      <c r="C370" s="9">
        <v>141.00135318</v>
      </c>
      <c r="D370" s="9">
        <v>141.40730717</v>
      </c>
      <c r="E370" s="9">
        <v>145.03710397</v>
      </c>
      <c r="F370" s="9">
        <v>162.65119332</v>
      </c>
      <c r="G370" s="9">
        <v>5864.06</v>
      </c>
      <c r="H370" s="9">
        <v>4.0533299999999999</v>
      </c>
    </row>
    <row r="371" spans="1:8" x14ac:dyDescent="0.75">
      <c r="A371" s="8">
        <v>42979</v>
      </c>
      <c r="B371" s="9">
        <v>201.19044775</v>
      </c>
      <c r="C371" s="9">
        <v>153.11653117</v>
      </c>
      <c r="D371" s="9">
        <v>136.04336043000001</v>
      </c>
      <c r="E371" s="9">
        <v>148.02429695000001</v>
      </c>
      <c r="F371" s="9">
        <v>157.31239342999999</v>
      </c>
      <c r="G371" s="9">
        <v>5900.85</v>
      </c>
      <c r="H371" s="9">
        <v>3.8612500000000001</v>
      </c>
    </row>
    <row r="372" spans="1:8" x14ac:dyDescent="0.75">
      <c r="A372" s="8">
        <v>43009</v>
      </c>
      <c r="B372" s="9">
        <v>202.3152528</v>
      </c>
      <c r="C372" s="9">
        <v>149.11804613000001</v>
      </c>
      <c r="D372" s="9">
        <v>135.68521031</v>
      </c>
      <c r="E372" s="9">
        <v>154.92842770999999</v>
      </c>
      <c r="F372" s="9">
        <v>163.13546986</v>
      </c>
      <c r="G372" s="9">
        <v>6005.78</v>
      </c>
      <c r="H372" s="9">
        <v>3.9365199999999998</v>
      </c>
    </row>
    <row r="373" spans="1:8" x14ac:dyDescent="0.75">
      <c r="A373" s="8">
        <v>43040</v>
      </c>
      <c r="B373" s="9">
        <v>206.68734119999999</v>
      </c>
      <c r="C373" s="9">
        <v>134.64673912999999</v>
      </c>
      <c r="D373" s="9">
        <v>151.02040815999999</v>
      </c>
      <c r="E373" s="9">
        <v>152.80842544000001</v>
      </c>
      <c r="F373" s="9">
        <v>173.20744246999999</v>
      </c>
      <c r="G373" s="9">
        <v>5952.14</v>
      </c>
      <c r="H373" s="9">
        <v>3.8956599999999999</v>
      </c>
    </row>
    <row r="374" spans="1:8" x14ac:dyDescent="0.75">
      <c r="A374" s="8">
        <v>43070</v>
      </c>
      <c r="B374" s="9">
        <v>219.52023531</v>
      </c>
      <c r="C374" s="9">
        <v>118.72455902</v>
      </c>
      <c r="D374" s="9">
        <v>148.98236091999999</v>
      </c>
      <c r="E374" s="9">
        <v>158.16009020000001</v>
      </c>
      <c r="F374" s="9">
        <v>167.92440955000001</v>
      </c>
      <c r="G374" s="9">
        <v>6355.65</v>
      </c>
      <c r="H374" s="9">
        <v>3.8541799999999999</v>
      </c>
    </row>
    <row r="375" spans="1:8" x14ac:dyDescent="0.75">
      <c r="A375" s="8">
        <v>43101</v>
      </c>
      <c r="B375" s="9">
        <v>203.50806808999999</v>
      </c>
      <c r="C375" s="9">
        <v>142.21921516</v>
      </c>
      <c r="D375" s="9">
        <v>140.32476319</v>
      </c>
      <c r="E375" s="9">
        <v>155.14660651</v>
      </c>
      <c r="F375" s="9">
        <v>161.51251156999999</v>
      </c>
      <c r="G375" s="9">
        <v>6605.63</v>
      </c>
      <c r="H375" s="9">
        <v>3.8374199999999998</v>
      </c>
    </row>
    <row r="376" spans="1:8" x14ac:dyDescent="0.75">
      <c r="A376" s="8">
        <v>43132</v>
      </c>
      <c r="B376" s="9">
        <v>200.03400338</v>
      </c>
      <c r="C376" s="9">
        <v>153.73961219</v>
      </c>
      <c r="D376" s="9">
        <v>147.64542936000001</v>
      </c>
      <c r="E376" s="9">
        <v>163.96267710999999</v>
      </c>
      <c r="F376" s="9">
        <v>149.23004723</v>
      </c>
      <c r="G376" s="9">
        <v>6597.22</v>
      </c>
      <c r="H376" s="9">
        <v>3.8517700000000001</v>
      </c>
    </row>
    <row r="377" spans="1:8" x14ac:dyDescent="0.75">
      <c r="A377" s="8">
        <v>43160</v>
      </c>
      <c r="B377" s="9">
        <v>209.10832798999999</v>
      </c>
      <c r="C377" s="9">
        <v>161.18784529999999</v>
      </c>
      <c r="D377" s="9">
        <v>141.08322325</v>
      </c>
      <c r="E377" s="9">
        <v>169.00557997000001</v>
      </c>
      <c r="F377" s="9">
        <v>150.79511840999999</v>
      </c>
      <c r="G377" s="9">
        <v>6188.99</v>
      </c>
      <c r="H377" s="9">
        <v>4.2832999999999997</v>
      </c>
    </row>
    <row r="378" spans="1:8" x14ac:dyDescent="0.75">
      <c r="A378" s="8">
        <v>43191</v>
      </c>
      <c r="B378" s="9">
        <v>215.02060817</v>
      </c>
      <c r="C378" s="9">
        <v>140.03</v>
      </c>
      <c r="D378" s="9">
        <v>146.21</v>
      </c>
      <c r="E378" s="9">
        <v>153.69999999999999</v>
      </c>
      <c r="F378" s="9">
        <v>163.08000000000001</v>
      </c>
      <c r="G378" s="9">
        <v>5994.6</v>
      </c>
      <c r="H378" s="9">
        <v>4.1986400000000001</v>
      </c>
    </row>
    <row r="379" spans="1:8" x14ac:dyDescent="0.75">
      <c r="A379" s="8">
        <v>43221</v>
      </c>
      <c r="B379" s="9">
        <v>231.95758470999999</v>
      </c>
      <c r="C379" s="9">
        <v>140.22824535999999</v>
      </c>
      <c r="D379" s="9">
        <v>140.65620541999999</v>
      </c>
      <c r="E379" s="9">
        <v>152.01917058999999</v>
      </c>
      <c r="F379" s="9">
        <v>165.76687283999999</v>
      </c>
      <c r="G379" s="9">
        <v>5983.59</v>
      </c>
      <c r="H379" s="9">
        <v>4.2769399999999997</v>
      </c>
    </row>
    <row r="380" spans="1:8" x14ac:dyDescent="0.75">
      <c r="A380" s="8">
        <v>43252</v>
      </c>
      <c r="B380" s="9">
        <v>237.82635042000001</v>
      </c>
      <c r="C380" s="9">
        <v>128.39506173000001</v>
      </c>
      <c r="D380" s="9">
        <v>160.33950616999999</v>
      </c>
      <c r="E380" s="9">
        <v>135.84624281000001</v>
      </c>
      <c r="F380" s="9">
        <v>170.9485924</v>
      </c>
      <c r="G380" s="9">
        <v>5799.24</v>
      </c>
      <c r="H380" s="9">
        <v>4.5671900000000001</v>
      </c>
    </row>
    <row r="381" spans="1:8" x14ac:dyDescent="0.75">
      <c r="A381" s="8">
        <v>43282</v>
      </c>
      <c r="B381" s="9">
        <v>216.03721544999999</v>
      </c>
      <c r="C381" s="9">
        <v>140.4</v>
      </c>
      <c r="D381" s="9">
        <v>161.6</v>
      </c>
      <c r="E381" s="9">
        <v>140.19999999999999</v>
      </c>
      <c r="F381" s="9">
        <v>177.8</v>
      </c>
      <c r="G381" s="9">
        <v>5936.44</v>
      </c>
      <c r="H381" s="9">
        <v>4.9846700000000004</v>
      </c>
    </row>
    <row r="382" spans="1:8" x14ac:dyDescent="0.75">
      <c r="A382" s="8">
        <v>43313</v>
      </c>
      <c r="B382" s="9">
        <v>214.29140642999999</v>
      </c>
      <c r="C382" s="9">
        <v>139.66712899000001</v>
      </c>
      <c r="D382" s="9">
        <v>148.33333332999999</v>
      </c>
      <c r="E382" s="9">
        <v>144.33964659</v>
      </c>
      <c r="F382" s="9">
        <v>177.25419941000001</v>
      </c>
      <c r="G382" s="9">
        <v>6018.46</v>
      </c>
      <c r="H382" s="9">
        <v>5.3508199999999997</v>
      </c>
    </row>
    <row r="383" spans="1:8" x14ac:dyDescent="0.75">
      <c r="A383" s="8">
        <v>43344</v>
      </c>
      <c r="B383" s="9">
        <v>210.83053898</v>
      </c>
      <c r="C383" s="9">
        <v>165.8872077</v>
      </c>
      <c r="D383" s="9">
        <v>143.75857339000001</v>
      </c>
      <c r="E383" s="9">
        <v>159.31885346999999</v>
      </c>
      <c r="F383" s="9">
        <v>173.31390264000001</v>
      </c>
      <c r="G383" s="9">
        <v>5976.55</v>
      </c>
      <c r="H383" s="9">
        <v>5.6255199999999999</v>
      </c>
    </row>
    <row r="384" spans="1:8" x14ac:dyDescent="0.75">
      <c r="A384" s="8">
        <v>43374</v>
      </c>
      <c r="B384" s="9">
        <v>208.14690014000001</v>
      </c>
      <c r="C384" s="9">
        <v>156.02165088000001</v>
      </c>
      <c r="D384" s="9">
        <v>141.67794316999999</v>
      </c>
      <c r="E384" s="9">
        <v>163.93265808000001</v>
      </c>
      <c r="F384" s="9">
        <v>172.37977236</v>
      </c>
      <c r="G384" s="9">
        <v>5831.65</v>
      </c>
      <c r="H384" s="9">
        <v>5.5655099999999997</v>
      </c>
    </row>
    <row r="385" spans="1:8" x14ac:dyDescent="0.75">
      <c r="A385" s="8">
        <v>43405</v>
      </c>
      <c r="B385" s="9">
        <v>213.74595719000001</v>
      </c>
      <c r="C385" s="9">
        <v>143.30000000000001</v>
      </c>
      <c r="D385" s="9">
        <v>149.26</v>
      </c>
      <c r="E385" s="9">
        <v>160.09</v>
      </c>
      <c r="F385" s="9">
        <v>161.54</v>
      </c>
      <c r="G385" s="9">
        <v>6056.12</v>
      </c>
      <c r="H385" s="9">
        <v>5.8297400000000001</v>
      </c>
    </row>
    <row r="386" spans="1:8" x14ac:dyDescent="0.75">
      <c r="A386" s="8">
        <v>43435</v>
      </c>
      <c r="B386" s="9">
        <v>236.33557325999999</v>
      </c>
      <c r="C386" s="9">
        <v>141.27198917000001</v>
      </c>
      <c r="D386" s="9">
        <v>148.84979702000001</v>
      </c>
      <c r="E386" s="9">
        <v>156.91633909000001</v>
      </c>
      <c r="F386" s="9">
        <v>168.02530707</v>
      </c>
      <c r="G386" s="9">
        <v>6194.5</v>
      </c>
      <c r="H386" s="9">
        <v>5.7772100000000002</v>
      </c>
    </row>
    <row r="387" spans="1:8" x14ac:dyDescent="0.75">
      <c r="A387" s="8">
        <v>43466</v>
      </c>
      <c r="B387" s="9">
        <v>218.13387553999999</v>
      </c>
      <c r="C387" s="9">
        <v>140.73071719000001</v>
      </c>
      <c r="D387" s="9">
        <v>136.26522327000001</v>
      </c>
      <c r="E387" s="9">
        <v>154.33097329</v>
      </c>
      <c r="F387" s="9">
        <v>157.93359752999999</v>
      </c>
      <c r="G387" s="9">
        <v>6532.97</v>
      </c>
      <c r="H387" s="9">
        <v>5.8158700000000003</v>
      </c>
    </row>
    <row r="388" spans="1:8" x14ac:dyDescent="0.75">
      <c r="A388" s="8">
        <v>43497</v>
      </c>
      <c r="B388" s="9">
        <v>218.20217807</v>
      </c>
      <c r="C388" s="9">
        <v>155.0744249</v>
      </c>
      <c r="D388" s="9">
        <v>151.28552096999999</v>
      </c>
      <c r="E388" s="9">
        <v>153.93308378</v>
      </c>
      <c r="F388" s="9">
        <v>155.32931137</v>
      </c>
      <c r="G388" s="9">
        <v>6443.35</v>
      </c>
      <c r="H388" s="9">
        <v>5.7196199999999999</v>
      </c>
    </row>
    <row r="389" spans="1:8" x14ac:dyDescent="0.75">
      <c r="A389" s="8">
        <v>43525</v>
      </c>
      <c r="B389" s="9">
        <v>230.16173877</v>
      </c>
      <c r="C389" s="9">
        <v>154.86486486000001</v>
      </c>
      <c r="D389" s="9">
        <v>149.86486486000001</v>
      </c>
      <c r="E389" s="9">
        <v>174.64189304000001</v>
      </c>
      <c r="F389" s="9">
        <v>152.80585887000001</v>
      </c>
      <c r="G389" s="9">
        <v>6468.75</v>
      </c>
      <c r="H389" s="9">
        <v>5.9294700000000002</v>
      </c>
    </row>
    <row r="390" spans="1:8" x14ac:dyDescent="0.75">
      <c r="A390" s="8">
        <v>43556</v>
      </c>
      <c r="B390" s="9">
        <v>229.34501230000001</v>
      </c>
      <c r="C390" s="9">
        <v>143.03112314000001</v>
      </c>
      <c r="D390" s="9">
        <v>153.72124493000001</v>
      </c>
      <c r="E390" s="9">
        <v>160.48605505</v>
      </c>
      <c r="F390" s="9">
        <v>157.10351054</v>
      </c>
      <c r="G390" s="9">
        <v>6455.35</v>
      </c>
      <c r="H390" s="9">
        <v>5.8715299999999999</v>
      </c>
    </row>
    <row r="391" spans="1:8" x14ac:dyDescent="0.75">
      <c r="A391" s="8">
        <v>43586</v>
      </c>
      <c r="B391" s="9">
        <v>249.78630355999999</v>
      </c>
      <c r="C391" s="9">
        <v>136.26522327000001</v>
      </c>
      <c r="D391" s="9">
        <v>144.51962111</v>
      </c>
      <c r="E391" s="9">
        <v>138.34844129000001</v>
      </c>
      <c r="F391" s="9">
        <v>155.03648446</v>
      </c>
      <c r="G391" s="9">
        <v>6209.12</v>
      </c>
      <c r="H391" s="9">
        <v>5.9935200000000002</v>
      </c>
    </row>
    <row r="392" spans="1:8" x14ac:dyDescent="0.75">
      <c r="A392" s="8">
        <v>43617</v>
      </c>
      <c r="B392" s="9">
        <v>233.58105121</v>
      </c>
      <c r="C392" s="9">
        <v>138.00539083999999</v>
      </c>
      <c r="D392" s="9">
        <v>162.53369272</v>
      </c>
      <c r="E392" s="9">
        <v>131.38127127000001</v>
      </c>
      <c r="F392" s="9">
        <v>163.10094799000001</v>
      </c>
      <c r="G392" s="9">
        <v>6358.63</v>
      </c>
      <c r="H392" s="9">
        <v>5.7731500000000002</v>
      </c>
    </row>
    <row r="393" spans="1:8" x14ac:dyDescent="0.75">
      <c r="A393" s="8">
        <v>43647</v>
      </c>
      <c r="B393" s="9">
        <v>221.23411614</v>
      </c>
      <c r="C393" s="9">
        <v>146.33152174</v>
      </c>
      <c r="D393" s="9">
        <v>161.14130435000001</v>
      </c>
      <c r="E393" s="9">
        <v>137.05687817</v>
      </c>
      <c r="F393" s="9">
        <v>174.70787544999999</v>
      </c>
      <c r="G393" s="9">
        <v>6390.5</v>
      </c>
      <c r="H393" s="9">
        <v>5.5945200000000002</v>
      </c>
    </row>
    <row r="394" spans="1:8" x14ac:dyDescent="0.75">
      <c r="A394" s="8">
        <v>43678</v>
      </c>
      <c r="B394" s="9">
        <v>216.55795850999999</v>
      </c>
      <c r="C394" s="9">
        <v>140</v>
      </c>
      <c r="D394" s="9">
        <v>150.20408162999999</v>
      </c>
      <c r="E394" s="9">
        <v>140.01934023999999</v>
      </c>
      <c r="F394" s="9">
        <v>168.16576714999999</v>
      </c>
      <c r="G394" s="9">
        <v>6328.47</v>
      </c>
      <c r="H394" s="9">
        <v>5.3111199999999998</v>
      </c>
    </row>
    <row r="395" spans="1:8" x14ac:dyDescent="0.75">
      <c r="A395" s="8">
        <v>43709</v>
      </c>
      <c r="B395" s="9">
        <v>212.36304655000001</v>
      </c>
      <c r="C395" s="9">
        <v>159.81055480000001</v>
      </c>
      <c r="D395" s="9">
        <v>136.97705802999999</v>
      </c>
      <c r="E395" s="9">
        <v>153.07442707999999</v>
      </c>
      <c r="F395" s="9">
        <v>164.29621667000001</v>
      </c>
      <c r="G395" s="9">
        <v>6169.1</v>
      </c>
      <c r="H395" s="9">
        <v>5.1307499999999999</v>
      </c>
    </row>
    <row r="396" spans="1:8" x14ac:dyDescent="0.75">
      <c r="A396" s="8">
        <v>43739</v>
      </c>
      <c r="B396" s="9">
        <v>215.70878275999999</v>
      </c>
      <c r="C396" s="9">
        <v>155.72207083999999</v>
      </c>
      <c r="D396" s="9">
        <v>154.29740791</v>
      </c>
      <c r="E396" s="9">
        <v>149.16999680000001</v>
      </c>
      <c r="F396" s="9">
        <v>173.86441325000001</v>
      </c>
      <c r="G396" s="9">
        <v>6228.32</v>
      </c>
      <c r="H396" s="9">
        <v>4.851</v>
      </c>
    </row>
    <row r="397" spans="1:8" x14ac:dyDescent="0.75">
      <c r="A397" s="8">
        <v>43770</v>
      </c>
      <c r="B397" s="9">
        <v>216.58130285999999</v>
      </c>
      <c r="C397" s="9">
        <v>140.83557951</v>
      </c>
      <c r="D397" s="9">
        <v>156.12382234</v>
      </c>
      <c r="E397" s="9">
        <v>154.59050199999999</v>
      </c>
      <c r="F397" s="9">
        <v>177.81044706</v>
      </c>
      <c r="G397" s="9">
        <v>6011.83</v>
      </c>
      <c r="H397" s="9">
        <v>4.8499100000000004</v>
      </c>
    </row>
    <row r="398" spans="1:8" x14ac:dyDescent="0.75">
      <c r="A398" s="8">
        <v>43800</v>
      </c>
      <c r="B398" s="9">
        <v>235.09791129000001</v>
      </c>
      <c r="C398" s="9">
        <v>131.53638814000001</v>
      </c>
      <c r="D398" s="9">
        <v>140.56603774000001</v>
      </c>
      <c r="E398" s="9">
        <v>160.16975740999999</v>
      </c>
      <c r="F398" s="9">
        <v>166.00099546999999</v>
      </c>
      <c r="G398" s="9">
        <v>6299.54</v>
      </c>
      <c r="H398" s="9">
        <v>4.8826599999999996</v>
      </c>
    </row>
    <row r="399" spans="1:8" x14ac:dyDescent="0.75">
      <c r="A399" s="8">
        <v>43831</v>
      </c>
      <c r="B399" s="9">
        <v>217.53874021999999</v>
      </c>
      <c r="C399" s="9">
        <v>141.32985658000001</v>
      </c>
      <c r="D399" s="9">
        <v>142.50325945</v>
      </c>
      <c r="E399" s="9">
        <v>165.54717427</v>
      </c>
      <c r="F399" s="9">
        <v>161.83739668000001</v>
      </c>
      <c r="G399" s="9">
        <v>5940.05</v>
      </c>
      <c r="H399" s="9">
        <v>4.7906500000000003</v>
      </c>
    </row>
    <row r="400" spans="1:8" x14ac:dyDescent="0.75">
      <c r="A400" s="8">
        <v>43862</v>
      </c>
      <c r="B400" s="9">
        <v>216.35772829999999</v>
      </c>
      <c r="C400" s="9">
        <v>146.69260700000001</v>
      </c>
      <c r="D400" s="9">
        <v>141.24513619000001</v>
      </c>
      <c r="E400" s="9">
        <v>173.02147421999999</v>
      </c>
      <c r="F400" s="9">
        <v>153.72929873999999</v>
      </c>
      <c r="G400" s="9">
        <v>5452.7</v>
      </c>
      <c r="H400" s="9">
        <v>4.5694900000000001</v>
      </c>
    </row>
    <row r="401" spans="1:8" x14ac:dyDescent="0.75">
      <c r="A401" s="8">
        <v>43891</v>
      </c>
      <c r="B401" s="9">
        <v>219.89806325000001</v>
      </c>
      <c r="C401" s="9">
        <v>130.35019455</v>
      </c>
      <c r="D401" s="9">
        <v>145.52529182999999</v>
      </c>
      <c r="E401" s="9">
        <v>160.73358213</v>
      </c>
      <c r="F401" s="9">
        <v>153.01742809999999</v>
      </c>
      <c r="G401" s="9">
        <v>4538.93</v>
      </c>
      <c r="H401" s="9">
        <v>4.3422000000000001</v>
      </c>
    </row>
    <row r="402" spans="1:8" x14ac:dyDescent="0.75">
      <c r="A402" s="8">
        <v>43922</v>
      </c>
      <c r="B402" s="9">
        <v>190.66424554</v>
      </c>
      <c r="C402" s="9">
        <v>119.06614786</v>
      </c>
      <c r="D402" s="9">
        <v>146.30350195</v>
      </c>
      <c r="E402" s="9">
        <v>162.61924927000001</v>
      </c>
      <c r="F402" s="9">
        <v>146.39501347999999</v>
      </c>
      <c r="G402" s="9">
        <v>4716.3999999999996</v>
      </c>
      <c r="H402" s="9">
        <v>4.3303399999999996</v>
      </c>
    </row>
    <row r="403" spans="1:8" x14ac:dyDescent="0.75">
      <c r="A403" s="8">
        <v>43952</v>
      </c>
      <c r="B403" s="9">
        <v>198.29785293</v>
      </c>
      <c r="C403" s="9">
        <v>132.98835704999999</v>
      </c>
      <c r="D403" s="9">
        <v>149.35233160999999</v>
      </c>
      <c r="E403" s="9">
        <v>138.62343834999999</v>
      </c>
      <c r="F403" s="9">
        <v>142.52780111000001</v>
      </c>
      <c r="G403" s="9">
        <v>4753.6099999999997</v>
      </c>
      <c r="H403" s="9">
        <v>4.3147200000000003</v>
      </c>
    </row>
    <row r="404" spans="1:8" x14ac:dyDescent="0.75">
      <c r="A404" s="8">
        <v>43983</v>
      </c>
      <c r="B404" s="9">
        <v>193.56968316000001</v>
      </c>
      <c r="C404" s="9">
        <v>156.79172057</v>
      </c>
      <c r="D404" s="9">
        <v>169.43005181000001</v>
      </c>
      <c r="E404" s="9">
        <v>131.53025553000001</v>
      </c>
      <c r="F404" s="9">
        <v>156.08813259999999</v>
      </c>
      <c r="G404" s="9">
        <v>4905.3900000000003</v>
      </c>
      <c r="H404" s="9">
        <v>4.0905399999999998</v>
      </c>
    </row>
    <row r="405" spans="1:8" x14ac:dyDescent="0.75">
      <c r="A405" s="8">
        <v>44013</v>
      </c>
      <c r="B405" s="9">
        <v>194.06241405</v>
      </c>
      <c r="C405" s="9">
        <v>149.41329856999999</v>
      </c>
      <c r="D405" s="9">
        <v>165.625</v>
      </c>
      <c r="E405" s="9">
        <v>133.74516757000001</v>
      </c>
      <c r="F405" s="9">
        <v>157.65027878999999</v>
      </c>
      <c r="G405" s="9">
        <v>5149.63</v>
      </c>
      <c r="H405" s="9">
        <v>3.3576600000000001</v>
      </c>
    </row>
    <row r="406" spans="1:8" x14ac:dyDescent="0.75">
      <c r="A406" s="8">
        <v>44044</v>
      </c>
      <c r="B406" s="9">
        <v>196.64991282</v>
      </c>
      <c r="C406" s="9">
        <v>152.08333332999999</v>
      </c>
      <c r="D406" s="9">
        <v>161.328125</v>
      </c>
      <c r="E406" s="9">
        <v>132.47730472000001</v>
      </c>
      <c r="F406" s="9">
        <v>166.94734801000001</v>
      </c>
      <c r="G406" s="9">
        <v>5238.49</v>
      </c>
      <c r="H406" s="9">
        <v>3.2950300000000001</v>
      </c>
    </row>
    <row r="407" spans="1:8" x14ac:dyDescent="0.75">
      <c r="A407" s="8">
        <v>44075</v>
      </c>
      <c r="B407" s="9">
        <v>193.82974533000001</v>
      </c>
      <c r="C407" s="9">
        <v>157.21716515</v>
      </c>
      <c r="D407" s="9">
        <v>159.42782835</v>
      </c>
      <c r="E407" s="9">
        <v>142.45978579000001</v>
      </c>
      <c r="F407" s="9">
        <v>160.0489963</v>
      </c>
      <c r="G407" s="9">
        <v>4870.04</v>
      </c>
      <c r="H407" s="9">
        <v>3.2877800000000001</v>
      </c>
    </row>
    <row r="408" spans="1:8" x14ac:dyDescent="0.75">
      <c r="A408" s="8">
        <v>44105</v>
      </c>
      <c r="B408" s="9">
        <v>183.47160217000001</v>
      </c>
      <c r="C408" s="9">
        <v>151.55844156000001</v>
      </c>
      <c r="D408" s="9">
        <v>160.51948052</v>
      </c>
      <c r="E408" s="9">
        <v>139.78317332</v>
      </c>
      <c r="F408" s="9">
        <v>163.9165328</v>
      </c>
      <c r="G408" s="9">
        <v>5128.2299999999996</v>
      </c>
      <c r="H408" s="9">
        <v>3.32525</v>
      </c>
    </row>
    <row r="409" spans="1:8" x14ac:dyDescent="0.75">
      <c r="A409" s="8">
        <v>44136</v>
      </c>
      <c r="B409" s="9">
        <v>181.33573874999999</v>
      </c>
      <c r="C409" s="9">
        <v>153.43709468</v>
      </c>
      <c r="D409" s="9">
        <v>165.06493506000001</v>
      </c>
      <c r="E409" s="9">
        <v>150.41121412999999</v>
      </c>
      <c r="F409" s="9">
        <v>161.66314188999999</v>
      </c>
      <c r="G409" s="9">
        <v>5612.42</v>
      </c>
      <c r="H409" s="9">
        <v>3.03742</v>
      </c>
    </row>
    <row r="410" spans="1:8" x14ac:dyDescent="0.75">
      <c r="A410" s="8">
        <v>44166</v>
      </c>
      <c r="B410" s="9">
        <v>190.05839058999999</v>
      </c>
      <c r="C410" s="9">
        <v>152.46753247000001</v>
      </c>
      <c r="D410" s="9">
        <v>165.84415584000001</v>
      </c>
      <c r="E410" s="9">
        <v>149.7361751</v>
      </c>
      <c r="F410" s="9">
        <v>164.76484331</v>
      </c>
      <c r="G410" s="9">
        <v>5979.07</v>
      </c>
      <c r="H410" s="9">
        <v>3.04542</v>
      </c>
    </row>
    <row r="411" spans="1:8" x14ac:dyDescent="0.75">
      <c r="A411" s="8">
        <v>44197</v>
      </c>
      <c r="B411" s="9">
        <v>181.96736268999999</v>
      </c>
      <c r="C411" s="9">
        <v>150.38759690000001</v>
      </c>
      <c r="D411" s="9">
        <v>154.07503234000001</v>
      </c>
      <c r="E411" s="9">
        <v>156.90489454999999</v>
      </c>
      <c r="F411" s="9">
        <v>153.47175726</v>
      </c>
      <c r="G411" s="9">
        <v>5862.35</v>
      </c>
      <c r="H411" s="9">
        <v>3.0346899999999999</v>
      </c>
    </row>
    <row r="412" spans="1:8" x14ac:dyDescent="0.75">
      <c r="A412" s="8">
        <v>44228</v>
      </c>
      <c r="B412" s="9">
        <v>177.12517604000001</v>
      </c>
      <c r="C412" s="9">
        <v>150.51813472000001</v>
      </c>
      <c r="D412" s="9">
        <v>151.3618677</v>
      </c>
      <c r="E412" s="9">
        <v>156.41926634999999</v>
      </c>
      <c r="F412" s="9">
        <v>141.70240652999999</v>
      </c>
      <c r="G412" s="9">
        <v>6241.8</v>
      </c>
      <c r="H412" s="9">
        <v>2.7967499999999998</v>
      </c>
    </row>
    <row r="413" spans="1:8" x14ac:dyDescent="0.75">
      <c r="A413" s="8">
        <v>44256</v>
      </c>
      <c r="B413" s="9">
        <v>187.87382901999999</v>
      </c>
      <c r="C413" s="9">
        <v>148.96373057</v>
      </c>
      <c r="D413" s="9">
        <v>151.55440415000001</v>
      </c>
      <c r="E413" s="9">
        <v>141.36652647</v>
      </c>
      <c r="F413" s="9">
        <v>134.85718954999999</v>
      </c>
      <c r="G413" s="9">
        <v>5985.52</v>
      </c>
      <c r="H413" s="9">
        <v>2.7936399999999999</v>
      </c>
    </row>
    <row r="414" spans="1:8" x14ac:dyDescent="0.75">
      <c r="A414" s="8">
        <v>44287</v>
      </c>
      <c r="B414" s="9">
        <v>220.40696796</v>
      </c>
      <c r="C414" s="9">
        <v>147.27979275000001</v>
      </c>
      <c r="D414" s="9">
        <v>147.92746113999999</v>
      </c>
      <c r="E414" s="9">
        <v>142.44867736</v>
      </c>
      <c r="F414" s="9">
        <v>134.00167766000001</v>
      </c>
      <c r="G414" s="9">
        <v>5995.62</v>
      </c>
      <c r="H414" s="9">
        <v>2.7907000000000002</v>
      </c>
    </row>
    <row r="415" spans="1:8" x14ac:dyDescent="0.75">
      <c r="A415" s="8">
        <v>44317</v>
      </c>
      <c r="B415" s="9">
        <v>227.51262899</v>
      </c>
      <c r="C415" s="9">
        <v>129.40414508000001</v>
      </c>
      <c r="D415" s="9">
        <v>133.41968911999999</v>
      </c>
      <c r="E415" s="9">
        <v>124.41572426</v>
      </c>
      <c r="F415" s="9">
        <v>119.92965108999999</v>
      </c>
      <c r="G415" s="9">
        <v>5947.46</v>
      </c>
      <c r="H415" s="9">
        <v>2.78864</v>
      </c>
    </row>
    <row r="416" spans="1:8" x14ac:dyDescent="0.75">
      <c r="A416" s="8">
        <v>44348</v>
      </c>
      <c r="B416" s="9">
        <v>198.49801814</v>
      </c>
      <c r="C416" s="9">
        <v>139.24870465999999</v>
      </c>
      <c r="D416" s="9">
        <v>161.39896372999999</v>
      </c>
      <c r="E416" s="9">
        <v>112.70754947</v>
      </c>
      <c r="F416" s="9">
        <v>129.29146965000001</v>
      </c>
      <c r="G416" s="9">
        <v>5985.49</v>
      </c>
      <c r="H416" s="9">
        <v>2.8001800000000001</v>
      </c>
    </row>
    <row r="417" spans="1:8" x14ac:dyDescent="0.75">
      <c r="A417" s="8">
        <v>44378</v>
      </c>
      <c r="B417" s="9">
        <v>188.48253786000001</v>
      </c>
      <c r="C417" s="9">
        <v>142.94954722</v>
      </c>
      <c r="D417" s="9">
        <v>160.80206985999999</v>
      </c>
      <c r="E417" s="9">
        <v>123.03573165</v>
      </c>
      <c r="F417" s="9">
        <v>134.16282315000001</v>
      </c>
      <c r="G417" s="9">
        <v>6070.04</v>
      </c>
      <c r="H417" s="9">
        <v>2.8348300000000002</v>
      </c>
    </row>
    <row r="418" spans="1:8" x14ac:dyDescent="0.75">
      <c r="A418" s="8">
        <v>44409</v>
      </c>
      <c r="B418" s="9">
        <v>192.46020252</v>
      </c>
      <c r="C418" s="9">
        <v>128.71927554999999</v>
      </c>
      <c r="D418" s="9">
        <v>137.51617075999999</v>
      </c>
      <c r="E418" s="9">
        <v>124.75979753999999</v>
      </c>
      <c r="F418" s="9">
        <v>138.65442895000001</v>
      </c>
      <c r="G418" s="9">
        <v>6150.3</v>
      </c>
      <c r="H418" s="9">
        <v>2.7812399999999999</v>
      </c>
    </row>
    <row r="419" spans="1:8" x14ac:dyDescent="0.75">
      <c r="A419" s="8">
        <v>44440</v>
      </c>
      <c r="B419" s="9">
        <v>189.49343049999999</v>
      </c>
      <c r="C419" s="9">
        <v>155.23932730000001</v>
      </c>
      <c r="D419" s="9">
        <v>141.88481675</v>
      </c>
      <c r="E419" s="9">
        <v>128.42010658999999</v>
      </c>
      <c r="F419" s="9">
        <v>128.29765209000001</v>
      </c>
      <c r="G419" s="9">
        <v>6286.94</v>
      </c>
      <c r="H419" s="9">
        <v>2.7936299999999998</v>
      </c>
    </row>
    <row r="420" spans="1:8" x14ac:dyDescent="0.75">
      <c r="A420" s="8">
        <v>44470</v>
      </c>
      <c r="B420" s="9">
        <v>195.46369713000001</v>
      </c>
      <c r="C420" s="9">
        <v>148.96640826999999</v>
      </c>
      <c r="D420" s="9">
        <v>145.09043928</v>
      </c>
      <c r="E420" s="9">
        <v>125.52929469</v>
      </c>
      <c r="F420" s="9">
        <v>134.28417851</v>
      </c>
      <c r="G420" s="9">
        <v>6591.35</v>
      </c>
      <c r="H420" s="9">
        <v>2.7974600000000001</v>
      </c>
    </row>
    <row r="421" spans="1:8" x14ac:dyDescent="0.75">
      <c r="A421" s="8">
        <v>44501</v>
      </c>
      <c r="B421" s="9">
        <v>200.97600889</v>
      </c>
      <c r="C421" s="9">
        <v>155.14138817</v>
      </c>
      <c r="D421" s="9">
        <v>170.6940874</v>
      </c>
      <c r="E421" s="9">
        <v>129.73259820999999</v>
      </c>
      <c r="F421" s="9">
        <v>139.96943074000001</v>
      </c>
      <c r="G421" s="9">
        <v>6533.93</v>
      </c>
      <c r="H421" s="9">
        <v>2.7904200000000001</v>
      </c>
    </row>
    <row r="422" spans="1:8" x14ac:dyDescent="0.75">
      <c r="A422" s="8">
        <v>44531</v>
      </c>
      <c r="B422" s="9">
        <v>216.27801706</v>
      </c>
      <c r="C422" s="9">
        <v>141.07830551999999</v>
      </c>
      <c r="D422" s="9">
        <v>144.67265724999999</v>
      </c>
      <c r="E422" s="9">
        <v>129.20836510000001</v>
      </c>
      <c r="F422" s="9">
        <v>132.02810242999999</v>
      </c>
      <c r="G422" s="9">
        <v>6581.48</v>
      </c>
      <c r="H422" s="9">
        <v>2.7749999999999999</v>
      </c>
    </row>
    <row r="423" spans="1:8" x14ac:dyDescent="0.75">
      <c r="A423" s="8">
        <v>44562</v>
      </c>
      <c r="B423" s="9">
        <v>209.55632772000001</v>
      </c>
      <c r="C423" s="9">
        <v>151.78117047999999</v>
      </c>
      <c r="D423" s="9">
        <v>143.12977099</v>
      </c>
      <c r="E423" s="9">
        <v>139.05256661000001</v>
      </c>
      <c r="F423" s="9">
        <v>129.76426487000001</v>
      </c>
      <c r="G423" s="9">
        <v>6631.15</v>
      </c>
      <c r="H423" s="9">
        <v>2.7803100000000001</v>
      </c>
    </row>
    <row r="424" spans="1:8" x14ac:dyDescent="0.75">
      <c r="A424" s="8">
        <v>44593</v>
      </c>
      <c r="B424" s="9">
        <v>200.03144829999999</v>
      </c>
      <c r="C424" s="9">
        <v>157.78061224000001</v>
      </c>
      <c r="D424" s="9">
        <v>155.10204082000001</v>
      </c>
      <c r="E424" s="9">
        <v>141.28439646999999</v>
      </c>
      <c r="F424" s="9">
        <v>132.43370583000001</v>
      </c>
      <c r="G424" s="9">
        <v>6888.17</v>
      </c>
      <c r="H424" s="9">
        <v>2.8206899999999999</v>
      </c>
    </row>
    <row r="425" spans="1:8" x14ac:dyDescent="0.75">
      <c r="A425" s="8">
        <v>44621</v>
      </c>
      <c r="B425" s="9">
        <v>205.32203723999999</v>
      </c>
      <c r="C425" s="9">
        <v>154.14012739</v>
      </c>
      <c r="D425" s="9">
        <v>152.99363056999999</v>
      </c>
      <c r="E425" s="9">
        <v>135.55373462</v>
      </c>
      <c r="F425" s="9">
        <v>129.78475655</v>
      </c>
      <c r="G425" s="9">
        <v>7071.44</v>
      </c>
      <c r="H425" s="9">
        <v>2.7883300000000002</v>
      </c>
    </row>
    <row r="426" spans="1:8" x14ac:dyDescent="0.75">
      <c r="A426" s="8">
        <v>44652</v>
      </c>
      <c r="B426" s="9">
        <v>239.24427648</v>
      </c>
      <c r="C426" s="9">
        <v>145.08301405</v>
      </c>
      <c r="D426" s="9">
        <v>149.29757344000001</v>
      </c>
      <c r="E426" s="9">
        <v>141.72001227000001</v>
      </c>
      <c r="F426" s="9">
        <v>137.50297072999999</v>
      </c>
      <c r="G426" s="9">
        <v>7228.91</v>
      </c>
      <c r="H426" s="9">
        <v>3.48922</v>
      </c>
    </row>
    <row r="427" spans="1:8" x14ac:dyDescent="0.75">
      <c r="A427" s="8">
        <v>44682</v>
      </c>
      <c r="B427" s="9">
        <v>234.12540566000001</v>
      </c>
      <c r="C427" s="9">
        <v>147.19387755</v>
      </c>
      <c r="D427" s="9">
        <v>152.29591837000001</v>
      </c>
      <c r="E427" s="9">
        <v>127.52830938</v>
      </c>
      <c r="F427" s="9">
        <v>132.07012879999999</v>
      </c>
      <c r="G427" s="9">
        <v>7148.97</v>
      </c>
      <c r="H427" s="9">
        <v>2.7878099999999999</v>
      </c>
    </row>
    <row r="428" spans="1:8" x14ac:dyDescent="0.75">
      <c r="A428" s="8">
        <v>44713</v>
      </c>
      <c r="B428" s="9">
        <v>206.61160408999999</v>
      </c>
      <c r="C428" s="9">
        <v>149.61928933999999</v>
      </c>
      <c r="D428" s="9">
        <v>156.97969542999999</v>
      </c>
      <c r="E428" s="9">
        <v>137.50116581</v>
      </c>
      <c r="F428" s="9">
        <v>138.54025068000001</v>
      </c>
      <c r="G428" s="9">
        <v>6911.58</v>
      </c>
      <c r="H428" s="9">
        <v>2.7944599999999999</v>
      </c>
    </row>
    <row r="429" spans="1:8" x14ac:dyDescent="0.75">
      <c r="A429" s="8">
        <v>44743</v>
      </c>
      <c r="B429" s="9">
        <v>200.15645125</v>
      </c>
      <c r="C429" s="9">
        <v>148.72122762000001</v>
      </c>
      <c r="D429" s="9">
        <v>155.7544757</v>
      </c>
      <c r="E429" s="9">
        <v>135.3263718</v>
      </c>
      <c r="F429" s="9">
        <v>144.69146404</v>
      </c>
      <c r="G429" s="9">
        <v>6951.12</v>
      </c>
      <c r="H429" s="9">
        <v>2.7984399999999998</v>
      </c>
    </row>
    <row r="430" spans="1:8" x14ac:dyDescent="0.75">
      <c r="A430" s="8">
        <v>44774</v>
      </c>
      <c r="B430" s="9">
        <v>201.81715317999999</v>
      </c>
      <c r="C430" s="9">
        <v>149.35897435999999</v>
      </c>
      <c r="D430" s="9">
        <v>137.43589743999999</v>
      </c>
      <c r="E430" s="9">
        <v>135.44760629999999</v>
      </c>
      <c r="F430" s="9">
        <v>138.70684324999999</v>
      </c>
      <c r="G430" s="9">
        <v>7178.59</v>
      </c>
      <c r="H430" s="9">
        <v>3.1223299999999998</v>
      </c>
    </row>
    <row r="431" spans="1:8" x14ac:dyDescent="0.75">
      <c r="A431" s="8">
        <v>44805</v>
      </c>
      <c r="B431" s="9">
        <v>198.13708998999999</v>
      </c>
      <c r="C431" s="9">
        <v>151.98973042</v>
      </c>
      <c r="D431" s="9">
        <v>144.03080872999999</v>
      </c>
      <c r="E431" s="9">
        <v>145.95882101000001</v>
      </c>
      <c r="F431" s="9">
        <v>140.74823953999999</v>
      </c>
      <c r="G431" s="9">
        <v>7040.8</v>
      </c>
      <c r="H431" s="9">
        <v>3.8415499999999998</v>
      </c>
    </row>
    <row r="432" spans="1:8" x14ac:dyDescent="0.75">
      <c r="A432" s="8">
        <v>44835</v>
      </c>
      <c r="B432" s="9">
        <v>202.70726796</v>
      </c>
      <c r="C432" s="9">
        <v>150.63938619000001</v>
      </c>
      <c r="D432" s="9">
        <v>146.93094629000001</v>
      </c>
      <c r="E432" s="9">
        <v>138.03188127000001</v>
      </c>
      <c r="F432" s="9">
        <v>140.82061074999999</v>
      </c>
      <c r="G432" s="9">
        <v>7098.89</v>
      </c>
      <c r="H432" s="9">
        <v>4.2414100000000001</v>
      </c>
    </row>
    <row r="433" spans="1:8" x14ac:dyDescent="0.75">
      <c r="A433" s="8">
        <v>44866</v>
      </c>
      <c r="B433" s="9">
        <v>203.53469221</v>
      </c>
      <c r="C433" s="9">
        <v>124.67866324000001</v>
      </c>
      <c r="D433" s="9">
        <v>153.85604112999999</v>
      </c>
      <c r="E433" s="9">
        <v>134.55690143999999</v>
      </c>
      <c r="F433" s="9">
        <v>140.24790909000001</v>
      </c>
      <c r="G433" s="9">
        <v>7081.31</v>
      </c>
      <c r="H433" s="9">
        <v>4.8053900000000001</v>
      </c>
    </row>
    <row r="434" spans="1:8" x14ac:dyDescent="0.75">
      <c r="A434" s="8">
        <v>44896</v>
      </c>
      <c r="B434" s="9">
        <v>217.75590052000001</v>
      </c>
      <c r="C434" s="9">
        <v>139.56466069000001</v>
      </c>
      <c r="D434" s="9">
        <v>140.20486556</v>
      </c>
      <c r="E434" s="9">
        <v>139.10313235000001</v>
      </c>
      <c r="F434" s="9">
        <v>138.34477734000001</v>
      </c>
      <c r="G434" s="9">
        <v>6850.62</v>
      </c>
      <c r="H434" s="9">
        <v>5.0139699999999996</v>
      </c>
    </row>
    <row r="435" spans="1:8" x14ac:dyDescent="0.75">
      <c r="A435" s="8">
        <v>44927</v>
      </c>
      <c r="B435" s="9">
        <v>208.22173298000001</v>
      </c>
      <c r="C435" s="9">
        <v>161.18836915</v>
      </c>
      <c r="D435" s="9">
        <v>142.85714286000001</v>
      </c>
      <c r="E435" s="9">
        <v>145.07690887999999</v>
      </c>
      <c r="F435" s="9">
        <v>133.51196160999999</v>
      </c>
      <c r="G435" s="9">
        <v>6839.34</v>
      </c>
      <c r="H435" s="9">
        <v>5.4110800000000001</v>
      </c>
    </row>
    <row r="436" spans="1:8" x14ac:dyDescent="0.75">
      <c r="A436" s="8">
        <v>44958</v>
      </c>
      <c r="B436" s="9">
        <v>201.17864774</v>
      </c>
      <c r="C436" s="9">
        <v>149.55863808000001</v>
      </c>
      <c r="D436" s="9">
        <v>152.71122320000001</v>
      </c>
      <c r="E436" s="9">
        <v>130.2709538</v>
      </c>
      <c r="F436" s="9">
        <v>128.10434986999999</v>
      </c>
      <c r="G436" s="9">
        <v>6843.24</v>
      </c>
      <c r="H436" s="9">
        <v>5.6190600000000002</v>
      </c>
    </row>
    <row r="437" spans="1:8" x14ac:dyDescent="0.75">
      <c r="A437" s="8">
        <v>44986</v>
      </c>
      <c r="B437" s="9">
        <v>215.33381954000001</v>
      </c>
      <c r="C437" s="9">
        <v>129.76040352999999</v>
      </c>
      <c r="D437" s="9">
        <v>135.30895333999999</v>
      </c>
      <c r="E437" s="9">
        <v>124.5059584</v>
      </c>
      <c r="F437" s="9">
        <v>121.50788609</v>
      </c>
      <c r="G437" s="9">
        <v>6805.28</v>
      </c>
      <c r="H437" s="9">
        <v>5.5456200000000004</v>
      </c>
    </row>
    <row r="438" spans="1:8" x14ac:dyDescent="0.75">
      <c r="A438" s="8">
        <v>45017</v>
      </c>
      <c r="B438" s="9">
        <v>242.91884001</v>
      </c>
      <c r="C438" s="9">
        <v>129.00378309999999</v>
      </c>
      <c r="D438" s="9">
        <v>130.13871374999999</v>
      </c>
      <c r="E438" s="9">
        <v>118.54172579999999</v>
      </c>
      <c r="F438" s="9">
        <v>121.56740636000001</v>
      </c>
      <c r="G438" s="9">
        <v>6915.72</v>
      </c>
      <c r="H438" s="9">
        <v>5.7218900000000001</v>
      </c>
    </row>
    <row r="439" spans="1:8" x14ac:dyDescent="0.75">
      <c r="A439" s="8">
        <v>45047</v>
      </c>
      <c r="B439" s="9">
        <v>223.51048170000001</v>
      </c>
      <c r="C439" s="9">
        <v>140.85750315000001</v>
      </c>
      <c r="D439" s="9">
        <v>141.23581336999999</v>
      </c>
      <c r="E439" s="9">
        <v>117.70996469000001</v>
      </c>
      <c r="F439" s="9">
        <v>123.04907123</v>
      </c>
      <c r="G439" s="9">
        <v>6633.26</v>
      </c>
      <c r="H439" s="9">
        <v>5.6033200000000001</v>
      </c>
    </row>
    <row r="440" spans="1:8" x14ac:dyDescent="0.75">
      <c r="A440" s="8">
        <v>45078</v>
      </c>
      <c r="B440" s="9">
        <v>222.92251171000001</v>
      </c>
      <c r="C440" s="9">
        <v>133.37531486</v>
      </c>
      <c r="D440" s="9">
        <v>149.87405541999999</v>
      </c>
      <c r="E440" s="9">
        <v>115.94535921000001</v>
      </c>
      <c r="F440" s="9">
        <v>130.04477356999999</v>
      </c>
      <c r="G440" s="9">
        <v>6661.88</v>
      </c>
      <c r="H440" s="9">
        <v>5.93309</v>
      </c>
    </row>
    <row r="441" spans="1:8" x14ac:dyDescent="0.75">
      <c r="A441" s="8">
        <v>45108</v>
      </c>
      <c r="B441" s="9">
        <v>203.33806185</v>
      </c>
      <c r="C441" s="9">
        <v>133.20659061999999</v>
      </c>
      <c r="D441" s="9">
        <v>137.13561469999999</v>
      </c>
      <c r="E441" s="9">
        <v>118.65598942</v>
      </c>
      <c r="F441" s="9">
        <v>134.02148645</v>
      </c>
      <c r="G441" s="9">
        <v>6931.36</v>
      </c>
      <c r="H441" s="9">
        <v>5.7040899999999999</v>
      </c>
    </row>
    <row r="442" spans="1:8" x14ac:dyDescent="0.75">
      <c r="A442" s="8">
        <v>45139</v>
      </c>
      <c r="B442" s="9">
        <v>204.07191019999999</v>
      </c>
      <c r="C442" s="9">
        <v>136.62864385</v>
      </c>
      <c r="D442" s="9">
        <v>122.43346008</v>
      </c>
      <c r="E442" s="9">
        <v>119.90250774</v>
      </c>
      <c r="F442" s="9">
        <v>129.70738220000001</v>
      </c>
      <c r="G442" s="9">
        <v>6953.26</v>
      </c>
      <c r="H442" s="9">
        <v>5.56759</v>
      </c>
    </row>
    <row r="443" spans="1:8" x14ac:dyDescent="0.75">
      <c r="A443" s="8">
        <v>45170</v>
      </c>
      <c r="B443" s="9">
        <v>201.05967118999999</v>
      </c>
      <c r="C443" s="9">
        <v>150.62972292000001</v>
      </c>
      <c r="D443" s="9">
        <v>134.50881612000001</v>
      </c>
      <c r="E443" s="9">
        <v>131.17890831</v>
      </c>
      <c r="F443" s="9">
        <v>132.97761342999999</v>
      </c>
      <c r="G443" s="9">
        <v>6939.8919999999998</v>
      </c>
      <c r="H443" s="9">
        <v>5.6422499999999998</v>
      </c>
    </row>
    <row r="444" spans="1:8" x14ac:dyDescent="0.75">
      <c r="A444" s="8">
        <v>45200</v>
      </c>
      <c r="B444" s="9">
        <v>207.54133616999999</v>
      </c>
      <c r="C444" s="9">
        <v>139.11949686</v>
      </c>
      <c r="D444" s="9">
        <v>146.66666667000001</v>
      </c>
      <c r="E444" s="9">
        <v>133.09975123999999</v>
      </c>
      <c r="F444" s="9">
        <v>137.78081757999999</v>
      </c>
      <c r="G444" s="9">
        <v>6752.2110000000002</v>
      </c>
      <c r="H444" s="9">
        <v>5.84619</v>
      </c>
    </row>
    <row r="445" spans="1:8" x14ac:dyDescent="0.75">
      <c r="A445" s="8">
        <v>45231</v>
      </c>
      <c r="B445" s="9">
        <v>207.87304601</v>
      </c>
      <c r="C445" s="9">
        <v>115.08678238</v>
      </c>
      <c r="D445" s="9">
        <v>132.71028036999999</v>
      </c>
      <c r="E445" s="9">
        <v>129.27509605</v>
      </c>
      <c r="F445" s="9">
        <v>132.36337798</v>
      </c>
      <c r="G445" s="9">
        <v>7080.741</v>
      </c>
      <c r="H445" s="9">
        <v>5.9208499999999997</v>
      </c>
    </row>
    <row r="446" spans="1:8" x14ac:dyDescent="0.75">
      <c r="A446" s="8">
        <v>45261</v>
      </c>
      <c r="B446" s="9">
        <v>218.14754354999999</v>
      </c>
      <c r="C446" s="9">
        <v>132.29036295</v>
      </c>
      <c r="D446" s="9">
        <v>127.15894869</v>
      </c>
      <c r="E446" s="9">
        <v>137.15880358999999</v>
      </c>
      <c r="F446" s="9">
        <v>125.79591757999999</v>
      </c>
      <c r="G446" s="9">
        <v>7272.7969999999996</v>
      </c>
      <c r="H446" s="9">
        <v>5.8469600000000002</v>
      </c>
    </row>
    <row r="447" spans="1:8" x14ac:dyDescent="0.75">
      <c r="A447" s="8">
        <v>45292</v>
      </c>
      <c r="B447" s="9">
        <v>210.47660798000001</v>
      </c>
      <c r="C447" s="9">
        <v>161.03896104</v>
      </c>
      <c r="D447" s="9">
        <v>144.41558441999999</v>
      </c>
      <c r="E447" s="9">
        <v>165.88513849</v>
      </c>
      <c r="F447" s="9">
        <v>146.74335883000001</v>
      </c>
      <c r="G447" s="9">
        <v>7207.9409999999998</v>
      </c>
      <c r="H447" s="9">
        <v>5.8031899999999998</v>
      </c>
    </row>
    <row r="448" spans="1:8" x14ac:dyDescent="0.75">
      <c r="A448" s="8">
        <v>45323</v>
      </c>
      <c r="B448" s="9">
        <v>214.13966565000001</v>
      </c>
      <c r="C448" s="9">
        <v>147.79792746000001</v>
      </c>
      <c r="D448" s="9">
        <v>164.89637306</v>
      </c>
      <c r="E448" s="9">
        <v>146.14601267</v>
      </c>
      <c r="F448" s="9">
        <v>136.94661533999999</v>
      </c>
      <c r="G448" s="9">
        <v>7316.1109999999999</v>
      </c>
      <c r="H448" s="9">
        <v>5.7022599999999999</v>
      </c>
    </row>
    <row r="449" spans="1:8" x14ac:dyDescent="0.75">
      <c r="A449" s="8">
        <v>45352</v>
      </c>
      <c r="B449" s="9">
        <v>235.39061534999999</v>
      </c>
      <c r="C449" s="9">
        <v>127.46113990000001</v>
      </c>
      <c r="D449" s="9">
        <v>140.41450777</v>
      </c>
      <c r="E449" s="9">
        <v>140.07896059999999</v>
      </c>
      <c r="F449" s="9">
        <v>134.54641373000001</v>
      </c>
      <c r="G449" s="9">
        <v>7288.8130000000001</v>
      </c>
      <c r="H449" s="9">
        <v>5.9027700000000003</v>
      </c>
    </row>
    <row r="450" spans="1:8" x14ac:dyDescent="0.75">
      <c r="A450" s="8">
        <v>45383</v>
      </c>
      <c r="B450" s="9">
        <v>236.29110886000001</v>
      </c>
      <c r="C450" s="9">
        <v>137.22438392000001</v>
      </c>
      <c r="D450" s="9">
        <v>143.70946821999999</v>
      </c>
      <c r="E450" s="9">
        <v>142.45412164000001</v>
      </c>
      <c r="F450" s="9">
        <v>141.97172165000001</v>
      </c>
      <c r="G450" s="9">
        <v>7234.1970000000001</v>
      </c>
      <c r="H450" s="9">
        <v>6.0691699999999997</v>
      </c>
    </row>
    <row r="451" spans="1:8" x14ac:dyDescent="0.75">
      <c r="A451" s="8">
        <v>45413</v>
      </c>
      <c r="B451" s="9">
        <v>228.11272528000001</v>
      </c>
      <c r="C451" s="9">
        <v>158.84665792999999</v>
      </c>
      <c r="D451" s="9">
        <v>146.13368283</v>
      </c>
      <c r="E451" s="9">
        <v>136.4242965</v>
      </c>
      <c r="F451" s="9">
        <v>144.76790317000001</v>
      </c>
      <c r="G451" s="9">
        <v>6970.7359999999999</v>
      </c>
      <c r="H451" s="9">
        <v>6.1044600000000004</v>
      </c>
    </row>
    <row r="452" spans="1:8" x14ac:dyDescent="0.75">
      <c r="A452" s="8">
        <v>45444</v>
      </c>
      <c r="B452" s="9">
        <v>228.982235</v>
      </c>
      <c r="C452" s="9">
        <v>140.47619048000001</v>
      </c>
      <c r="D452" s="9">
        <v>165.03759398</v>
      </c>
      <c r="E452" s="9">
        <v>134.53977312999999</v>
      </c>
      <c r="F452" s="9">
        <v>161.04489258000001</v>
      </c>
      <c r="G452" s="9">
        <v>7063.5770000000002</v>
      </c>
      <c r="H452" s="9">
        <v>6.1510100000000003</v>
      </c>
    </row>
    <row r="453" spans="1:8" x14ac:dyDescent="0.75">
      <c r="A453" s="8">
        <v>45474</v>
      </c>
      <c r="B453" s="9">
        <v>212.41125012000001</v>
      </c>
      <c r="C453" s="9">
        <v>139.65087281999999</v>
      </c>
      <c r="D453" s="9">
        <v>153.11720697999999</v>
      </c>
      <c r="E453" s="9">
        <v>141.27229803</v>
      </c>
      <c r="F453" s="9">
        <v>166.74413480999999</v>
      </c>
      <c r="G453" s="9">
        <v>7255.7619999999997</v>
      </c>
      <c r="H453" s="9">
        <v>6.2227800000000002</v>
      </c>
    </row>
    <row r="454" spans="1:8" x14ac:dyDescent="0.75">
      <c r="A454" s="8">
        <v>45505</v>
      </c>
      <c r="B454" s="9">
        <v>215.93207527000001</v>
      </c>
      <c r="C454" s="9">
        <v>144.41656211</v>
      </c>
      <c r="D454" s="9">
        <v>123.08657465</v>
      </c>
      <c r="E454" s="9">
        <v>134.26383722</v>
      </c>
      <c r="F454" s="9">
        <v>155.92796774000001</v>
      </c>
      <c r="G454" s="9">
        <v>7670.7330000000002</v>
      </c>
      <c r="H454" s="9">
        <v>6.3510200000000001</v>
      </c>
    </row>
    <row r="455" spans="1:8" x14ac:dyDescent="0.75">
      <c r="A455" s="8">
        <v>45536</v>
      </c>
      <c r="B455" s="9">
        <v>210.61295147999999</v>
      </c>
      <c r="C455" s="9">
        <v>163.86449184</v>
      </c>
      <c r="D455" s="9">
        <v>156.46173149000001</v>
      </c>
      <c r="E455" s="9">
        <v>152.62055520999999</v>
      </c>
      <c r="F455" s="9">
        <v>169.36089967999999</v>
      </c>
      <c r="G455" s="9">
        <v>7527.9290000000001</v>
      </c>
      <c r="H455" s="9">
        <v>6.1334299999999997</v>
      </c>
    </row>
    <row r="456" spans="1:8" x14ac:dyDescent="0.75">
      <c r="A456" s="8">
        <v>45566</v>
      </c>
      <c r="B456" s="9">
        <v>210.58940361000001</v>
      </c>
      <c r="C456" s="9">
        <v>144.66750314000001</v>
      </c>
      <c r="D456" s="9">
        <v>146.54956085000001</v>
      </c>
      <c r="E456" s="9">
        <v>157.79177393000001</v>
      </c>
      <c r="F456" s="9">
        <v>165.36502296</v>
      </c>
      <c r="G456" s="9">
        <v>7574.0190000000002</v>
      </c>
      <c r="H456" s="9">
        <v>5.9126700000000003</v>
      </c>
    </row>
    <row r="457" spans="1:8" x14ac:dyDescent="0.75">
      <c r="A457" s="8">
        <v>45597</v>
      </c>
      <c r="B457" s="9">
        <v>209.66871896000001</v>
      </c>
      <c r="C457" s="9">
        <v>127.72898369000001</v>
      </c>
      <c r="D457" s="9">
        <v>138.64491844</v>
      </c>
      <c r="E457" s="9">
        <v>160.23702564999999</v>
      </c>
      <c r="F457" s="9">
        <v>151.08279199</v>
      </c>
      <c r="G457" s="9">
        <v>7114.2659999999996</v>
      </c>
      <c r="H457" s="9">
        <v>6.1677099999999996</v>
      </c>
    </row>
    <row r="458" spans="1:8" x14ac:dyDescent="0.75">
      <c r="A458" s="8">
        <v>45627</v>
      </c>
      <c r="B458" s="9">
        <v>221.99624772999999</v>
      </c>
      <c r="C458" s="9">
        <v>154.44305381999999</v>
      </c>
      <c r="D458" s="9">
        <v>134.79349185999999</v>
      </c>
      <c r="E458" s="9">
        <v>179.01233023</v>
      </c>
      <c r="F458" s="9">
        <v>152.27589090999999</v>
      </c>
      <c r="G458" s="9">
        <v>7079.9049999999997</v>
      </c>
      <c r="H458" s="9">
        <v>6.1775900000000004</v>
      </c>
    </row>
    <row r="459" spans="1:8" x14ac:dyDescent="0.75">
      <c r="A459" s="8">
        <v>45658</v>
      </c>
      <c r="B459" s="9">
        <v>211.54240698000001</v>
      </c>
      <c r="C459" s="9">
        <v>140.05006258</v>
      </c>
      <c r="D459" s="9">
        <v>148.93617021</v>
      </c>
      <c r="E459" s="9">
        <v>159.61636922</v>
      </c>
      <c r="F459" s="9">
        <v>155.38835294</v>
      </c>
      <c r="G459" s="9">
        <v>7109.1959999999999</v>
      </c>
      <c r="H459" s="9">
        <v>5.8061499999999997</v>
      </c>
    </row>
    <row r="460" spans="1:8" x14ac:dyDescent="0.75">
      <c r="A460" s="8">
        <v>45689</v>
      </c>
      <c r="B460" s="9">
        <v>218.48595193</v>
      </c>
      <c r="C460" s="9">
        <v>147.30913641999999</v>
      </c>
      <c r="D460" s="9">
        <v>162.82853567000001</v>
      </c>
      <c r="E460" s="9">
        <v>148.27294447</v>
      </c>
      <c r="F460" s="9">
        <v>155.47856507</v>
      </c>
      <c r="G460" s="9">
        <v>6270.5969999999998</v>
      </c>
      <c r="H460" s="9">
        <v>5.72607</v>
      </c>
    </row>
    <row r="461" spans="1:8" x14ac:dyDescent="0.75">
      <c r="A461" s="8">
        <v>45717</v>
      </c>
      <c r="B461" s="9">
        <v>248.27762322000001</v>
      </c>
      <c r="C461" s="9">
        <v>125.5</v>
      </c>
      <c r="D461" s="9">
        <v>137.125</v>
      </c>
      <c r="E461" s="9">
        <v>146.43505857</v>
      </c>
      <c r="F461" s="9">
        <v>153.08081908</v>
      </c>
      <c r="G461" s="9">
        <v>6510.62</v>
      </c>
      <c r="H461" s="9">
        <v>6.6895899999999999</v>
      </c>
    </row>
    <row r="462" spans="1:8" x14ac:dyDescent="0.75">
      <c r="A462" s="8">
        <v>45748</v>
      </c>
      <c r="B462" s="9">
        <v>235.5481254</v>
      </c>
      <c r="C462" s="9">
        <v>145.75</v>
      </c>
      <c r="D462" s="9">
        <v>149.31163955</v>
      </c>
      <c r="E462" s="9">
        <v>141.94261508</v>
      </c>
      <c r="F462" s="9">
        <v>144.50200308999999</v>
      </c>
      <c r="G462" s="9">
        <v>6766.7950000000001</v>
      </c>
      <c r="H462" s="9">
        <v>5.9035299999999999</v>
      </c>
    </row>
    <row r="463" spans="1:8" x14ac:dyDescent="0.75">
      <c r="A463" s="8">
        <v>45778</v>
      </c>
      <c r="B463" s="9">
        <v>232.44977516</v>
      </c>
      <c r="C463" s="9">
        <v>159.27318296000001</v>
      </c>
      <c r="D463" s="9">
        <v>152.00501252999999</v>
      </c>
      <c r="E463" s="9">
        <v>139.64017944</v>
      </c>
      <c r="F463" s="9">
        <v>151.25757078999999</v>
      </c>
      <c r="G463" s="9">
        <v>7175.8190000000004</v>
      </c>
      <c r="H463" s="9">
        <v>5.8776000000000002</v>
      </c>
    </row>
    <row r="464" spans="1:8" x14ac:dyDescent="0.75">
      <c r="A464" s="8">
        <v>45809</v>
      </c>
      <c r="B464" s="9">
        <v>231.89537849000001</v>
      </c>
      <c r="C464" s="9">
        <v>146.125</v>
      </c>
      <c r="D464" s="9">
        <v>169.375</v>
      </c>
      <c r="E464" s="9">
        <v>134.66757142</v>
      </c>
      <c r="F464" s="9">
        <v>163.44360703000001</v>
      </c>
      <c r="G464" s="9">
        <v>6927.6790000000001</v>
      </c>
      <c r="H464" s="9">
        <v>5.2628599999999999</v>
      </c>
    </row>
    <row r="465" spans="1:8" x14ac:dyDescent="0.75">
      <c r="A465" s="8">
        <v>45839</v>
      </c>
      <c r="B465" s="9">
        <v>222.31806161</v>
      </c>
      <c r="C465" s="9">
        <v>143.01886791999999</v>
      </c>
      <c r="D465" s="9">
        <v>157.48427673</v>
      </c>
      <c r="E465" s="9">
        <v>134.82980676</v>
      </c>
      <c r="F465" s="9">
        <v>169.31477434999999</v>
      </c>
      <c r="G465" s="9">
        <v>7484.3370000000004</v>
      </c>
      <c r="H465" s="9">
        <v>4.7595599999999996</v>
      </c>
    </row>
    <row r="466" spans="1:8" x14ac:dyDescent="0.75">
      <c r="A466" s="8">
        <v>45870</v>
      </c>
      <c r="B466" s="9">
        <v>223.57971807000001</v>
      </c>
      <c r="C466" s="9">
        <v>146.79245283</v>
      </c>
      <c r="D466" s="9">
        <v>142.26415094000001</v>
      </c>
      <c r="E466" s="9">
        <v>134.55683427</v>
      </c>
      <c r="F466" s="9">
        <v>169.23895300000001</v>
      </c>
      <c r="G466" s="9">
        <v>7830.4930000000004</v>
      </c>
      <c r="H466" s="9">
        <v>4.7005800000000004</v>
      </c>
    </row>
    <row r="467" spans="1:8" x14ac:dyDescent="0.75">
      <c r="A467" s="8">
        <v>45901</v>
      </c>
      <c r="B467" s="9">
        <v>218.30523339999999</v>
      </c>
      <c r="C467" s="9">
        <v>167.71356784</v>
      </c>
      <c r="D467" s="9">
        <v>155.65326633000001</v>
      </c>
      <c r="E467" s="9">
        <v>157.19080695</v>
      </c>
      <c r="F467" s="9">
        <v>172.48470348000001</v>
      </c>
      <c r="G467" s="9">
        <v>8061.0619999999999</v>
      </c>
      <c r="H467" s="9">
        <v>3.9756</v>
      </c>
    </row>
    <row r="468" spans="1:8" x14ac:dyDescent="0.75">
      <c r="A468" s="8">
        <v>45931</v>
      </c>
      <c r="B468" s="9">
        <v>219.69098456</v>
      </c>
      <c r="C468" s="9">
        <v>157.21455458</v>
      </c>
      <c r="D468" s="9">
        <v>144.79297364999999</v>
      </c>
      <c r="E468" s="9">
        <v>163.23551136</v>
      </c>
      <c r="F468" s="9">
        <v>161.69791516999999</v>
      </c>
      <c r="G468" s="9">
        <v>8163.875</v>
      </c>
      <c r="H468" s="9">
        <v>3.9992100000000002</v>
      </c>
    </row>
    <row r="469" spans="1:8" x14ac:dyDescent="0.75">
      <c r="A469" s="8">
        <v>45962</v>
      </c>
      <c r="B469" s="10">
        <v>222.93339660999999</v>
      </c>
      <c r="C469" s="10">
        <v>143.16185695999999</v>
      </c>
      <c r="D469" s="10">
        <v>145.04391468</v>
      </c>
      <c r="E469" s="10">
        <v>168.59961856999999</v>
      </c>
      <c r="F469" s="10">
        <v>154.54901454</v>
      </c>
      <c r="G469" s="9">
        <v>8508.7060000000001</v>
      </c>
      <c r="H469" s="9">
        <v>4.1500899999999996</v>
      </c>
    </row>
    <row r="470" spans="1:8" x14ac:dyDescent="0.75">
      <c r="A470" s="8">
        <v>45992</v>
      </c>
      <c r="B470" s="10">
        <v>231.74723865000001</v>
      </c>
      <c r="G470" s="10">
        <v>8646.9380000000001</v>
      </c>
      <c r="H470" s="10">
        <v>4.0589199999999996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SR5887893</Code>
          <DisplayName>Retail Sales Survey: Real Retail Sales Index</DisplayName>
          <EndCol>2</EndCol>
          <EndRow>470</EndRow>
          <InitCol>2</InitCol>
          <InitRow>1</InitRow>
          <Name>Retail Sales Survey: Real Retail Sales Index</Name>
          <Order>1</Order>
          <SeriesId>322851702</SeriesId>
        </MetadataSeries>
        <MetadataSeries>
          <Code>SR5887910</Code>
          <DisplayName>Retail Sales Survey: Retailer Expectation: Sales: Next 3 Months</DisplayName>
          <EndCol>3</EndCol>
          <EndRow>470</EndRow>
          <InitCol>3</InitCol>
          <InitRow>1</InitRow>
          <Name>Retail Sales Survey: Retailer Expectation: Sales: Next 3 Months</Name>
          <Order>2</Order>
          <SeriesId>322852502</SeriesId>
        </MetadataSeries>
        <MetadataSeries>
          <Code>SR5887886</Code>
          <DisplayName>Retail Sales Survey: Retailer Expectation: Sales: Next 6 Months</DisplayName>
          <EndCol>4</EndCol>
          <EndRow>470</EndRow>
          <InitCol>4</InitCol>
          <InitRow>1</InitRow>
          <Name>Retail Sales Survey: Retailer Expectation: Sales: Next 6 Months</Name>
          <Order>3</Order>
          <SeriesId>322852602</SeriesId>
        </MetadataSeries>
        <MetadataSeries>
          <Code>SR5887895</Code>
          <DisplayName>Retail Sales Survey: Retailer Expectation: General Price: Next 3 Months</DisplayName>
          <EndCol>5</EndCol>
          <EndRow>470</EndRow>
          <InitCol>5</InitCol>
          <InitRow>1</InitRow>
          <Name>Retail Sales Survey: Retailer Expectation: General Price: Next 3 Months</Name>
          <Order>4</Order>
          <SeriesId>322852902</SeriesId>
        </MetadataSeries>
        <MetadataSeries>
          <Code>SR5887885</Code>
          <DisplayName>Retail Sales Survey: Retailer Expectation: General Price: Next 6 Months</DisplayName>
          <EndCol>6</EndCol>
          <EndRow>470</EndRow>
          <InitCol>6</InitCol>
          <InitRow>1</InitRow>
          <Name>Retail Sales Survey: Retailer Expectation: General Price: Next 6 Months</Name>
          <Order>5</Order>
          <SeriesId>322853002</SeriesId>
        </MetadataSeries>
        <MetadataSeries>
          <Code>SR215135517</Code>
          <DisplayName>Indonesia Stock Exchange: Index: IDX Composite</DisplayName>
          <EndCol>7</EndCol>
          <EndRow>470</EndRow>
          <InitCol>7</InitCol>
          <InitRow>1</InitRow>
          <Name>Indonesia Stock Exchange: Index: IDX Composite</Name>
          <Order>6</Order>
          <SeriesId>527158177</SeriesId>
        </MetadataSeries>
        <MetadataSeries>
          <Code>SR4829525</Code>
          <DisplayName>Interbank Call Money: 1 Day</DisplayName>
          <EndCol>8</EndCol>
          <EndRow>470</EndRow>
          <InitCol>8</InitCol>
          <InitRow>1</InitRow>
          <Name>Interbank Call Money: 1 Day</Name>
          <Order>7</Order>
          <SeriesId>14409201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BDC4C296-C208-45D2-A229-9CBE977ABF83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Alfan Mansur</cp:lastModifiedBy>
  <dcterms:created xsi:type="dcterms:W3CDTF">2026-01-30T04:40:47Z</dcterms:created>
  <dcterms:modified xsi:type="dcterms:W3CDTF">2026-02-01T16:00:53Z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{BDC4C296-C208-45D2-A229-9CBE977ABF83}</vt:lpwstr>
  </property>
</Properties>
</file>