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fan\Downloads\"/>
    </mc:Choice>
  </mc:AlternateContent>
  <xr:revisionPtr revIDLastSave="0" documentId="13_ncr:1_{2BEDF4FD-48B7-4B45-8FA1-6C5143650D38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My Ser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3" i="1" l="1"/>
  <c r="I54" i="1"/>
  <c r="I55" i="1"/>
  <c r="I56" i="1"/>
  <c r="I57" i="1"/>
  <c r="I58" i="1"/>
  <c r="B54" i="1"/>
  <c r="B55" i="1" s="1"/>
  <c r="B56" i="1" s="1"/>
  <c r="B57" i="1" s="1"/>
  <c r="B58" i="1" s="1"/>
  <c r="B53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A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8"/>
            <color indexed="81"/>
            <rFont val="Tahoma"/>
            <family val="2"/>
          </rPr>
          <t>51sAAB+LCAAAAAAAAAPtXGtT2zwW/iuefN5gOxcgjOp3HBvezUIShqQXPnUUWwS92LJXkoH8+x1JviZOiWnpltYzzDQ65zm665znuBqBv57DQHtElOGIfOiYR0ZHQ8SLfEzWHzoJv+uax52/LHD+7KHgGlIYIo4o057DgLCzZ+Z/6NxzHp/p+tPT09FT/yiia71nGKb+ZXq18O5RCDs5GL8M7mLCOCQe6ljAjuNFlFAPTXxVxYfOZDE5chD2XMjhFBK4RvRonDBMEGPnhGOOEetYjjudoWcO9FINFrAphZvFPUKcNapOt4Djh1PEoQ85bNYT4FAEOXLc6TjBgW/1jo6PzCMT6FvyAvdJLYVClnCZPEW6kKMlDpHVM3rHXcPs9o2l0Tsb9M4Gp5lVjgFXkPEFoo/Yk4IFh2EsLIemaQyNoTk0DKDXgoBeGrsFnIRSRLjcDU4UXOEQ82YzYgC9rhILuNETCSLo22wSwjVqViunCQL6VhVFnTeQNK1R7XhpaIELTBn/Ivqe/lKS21xyq+b4i3Ws5vGLKt9aQ1MJbi0gt94MhsiabrQFohgxoBdCoJdb1CtdT3tjexxHpPF8l2zTihwUBI0PgbT8m8L4XvT39dZLzIPG5hcRRR5k/FU9nxCG1/e8oRsRhmwe+OnJazbtdzBgCOjlCixwhclDU1827JmjkWn2u6Pj3qo7uIOwezrqDbvHpnl3MoAQGt4Q6KpmC6h6QkT4NPIb7ngT6FVzC8zQ05zeoEfMkL+MrxBjy3tM+caFm8aLMF/9gzx+7mMuOvtKa7GJLnCAXl+F9AzfV8U1XH+H9SJZLTdx4wOgjBtbWpmjKewtMA/8dFFfdZxUlVeYNXT9qaEFHLG5Fjej4UnfOB6dAF0KgBMlhNONNSF+RBDDUCiUKNNJ4MTNFRVD6UZ3jZV3LRWuIg8G1g2Kk1WAPS260+qNFC6Ned7GiUjKkxZJHEeUp1Fnvx6I+VhBhmQ37cW5PQN6RZYjZCclQrumKMRJqGWqwkSNpFxSXfw4u5zNP8+qwLT3ggTM72xfEDrLMAyzK/+WhnEm/6RRgQAuZnEA1aSJ3xGDqwBpE+JFITrTFjNb6xnGKdDLwMxKLfDEt/onvYFxbJgnOS5XVbFLuLZc+9O5fWFfjh3b+c/lloUAZCYfCebWxL3RViRHSVkZoMYtUFMcYEgryHRSzokvRi0o0KBr9qrzkSnBBUX/TcTKWrcI0mAD9EJSKNXamiWlWtlKcU7xGhMY7AJzTWHgIuZRHMt4bROSwOBfGiJiebSOi7yO2LEIevfaBonh1drV1qZGv4T3CYGk3jCdoFz1N42SWA7otmRQSGuQ+YhqLWrGK3VyH+3Mc6Gqge8bzhYAXCREkp/SMPVCek5pREXPdAv8G7LzZ36DQkgfmDUDelUAZPCQ+1L2yQD6lgRMmAMDLwkgR1kDBRfYVYEJ24WVtcqb+qmrKcpgwmboKXWoM6EpimDCPsY+5MhXAt0Cl2hjiu7KfyU1tRmLPAxFO9nR1JVG2WbJxbBrml1jWDofWxhwBTdRwhcc8kQ09bLnUDNVLNA1Ij6MIYdEW2AYay5eoQCSf+ADJNt26ZLOkvA6woQzyxwCvSiBOfURFVRG/QDXUKQaevbjEm3ENBSFVC7jopkpVJS8ppGfeDwNOTOglwWZNh/2NY0esY+oboF0u8hIKRdSxTvn9KTXHwK9LMwQckr+phFj2kyuCQy0tAUNEj+dxNxWzWCpkE6ksHjQfEi00pzOIFMVjmnCo0od6WwuUAwp5BHN9mAhAAt1qFAe96vevXDr6peaD2uZadJyRVvxbx7Hj6iKrvixPQrVc/uB47u9xvnoVBxZBShd/i0J2B+KSjEoTY3lsjnnE8denEt9LgTqU0PqSlRBLpToGGYce6xMNEqAElj1eQzlGiYMci2zfiibZEPjkPI0kpnGTiQr1EAOVnZzOTYHxyOzB/RCptSyL0t1aN0j2znTdo5xaqR6nf/MHPEKBZnlt850qZJ0HEtI14hLD7SMYuypjl6fHo/MAdALkdLK1vNjYnueoGwsxaVdy37ueJjsNJTgWSc2sVi4CslQ7OIjQzTd6K5wtpVySas6Vtar3hRlsZMqALm1RFG2lKpUq2naqFvg80KO/sH4WibNqRR8XuQhbBdSqDLcFDEG12KknyP6wGIov44ZQC8Xs51fz9lPjJazvxvOrsWIag6MMYdFMD3TJu7NYRy+15zDXx3C4fn9IRz+Bq+SlsG3DL5l8P9vBv8tP9KE0ct6LvfXcxjD77UM/ycw/N67ZPjmwQz/qmX4fzLDFxTk12L45tcyxa5l+NuQt2H4Zsvw3zvD/7hwD2P4/eYMf/oSwy83vofeb0NaZt8y+5bZN2P2xrDbO30jZi/P5w9g9nk9hzH7fsvsfwKz779LZt87mNlPW2b/pzJ76W9+LVrf+1rm1bW0fhvyo2n98MQ4HQ5GLat/L6xehVBzNOqfiUBq5FdGv03pzcGxMTg1eodRete2bfvn3rgx+y2rb1l9Pau//cNYffkmxT5IDe9XbGHwY+7k1HiY5hd0VCXCXta0j+8Pavj+oOX7b8r3i4Cwh++PD+X7N0jEO/+1hP8aEcRhDIl2icIVDHBD8t//NvlPQ9k7Yv1Gy/p/9xs7/a8l5l3L+7cQb0P724/574b273yM24nPB93dkV5/1CQNGP/MSzttEtAmAe2n/d3LFj8/CTjY33zX/wRs5QffvO5TlyQM2yTh7ZOE0W+QJAxeThLGbZLwJycJv96ln8HXEk+vTRK2EG+TJJy2ScLvlCQccP1HeP2h0SRJcH7GvZ82OWiTgzY52L2v8WsmB99/TWgnOfjGjaG65OC4TQ7ePDlQYeKdJwfDl5MDp00O/tTk4Be8NzT8WiLntZnBFuK7M4P0h3jcJz8cke03fjkrM3VRgHjjx44y62n02NhWzOdcOoFmDxtZwGYPC8Q5JmuWucayCNgJj+4wd6IgCUkBqUrBOIDkYb5iqg/WBQ44ovNEnkn2GfP7WTRfMaBv4ZQdcxLGo3CJnkUUUwVheBHREApRUbBEwyHk2FOpQypViQbFiHB5WmzmZa/j7Sq2wS7zsmHVaICLPBzC4DqAHmLiMmZVAFx0B5OAb0/itjhLCeSIc1BZBtyIcDtAlLuYeRHhmCTIz6G1ysKmQrTypwFrlfkLgRMiuJp4jK9oZUdTRYsDNI6ih1qDXJnbzEmwWVJI2F1Ew7wDW7b1oLyOIqpsvXhYUuSJVG2SWSRSOAiyLSh3pZ31pUYD1C7ei9/ViQf7PHRO1leQrBPxGGOG3pYD+SigetlNbeEUuSMHE+IFiY9ST0zupFgcnpSJ71ODKeT3qU9woiBQlEj4OF2Sy/mKIfqosKYhGWZZBErnYEKyg67arFVVDW6ip3yddxWCSsaIChc0jgL/IiLZ94waBdgZm3LUkGzUy3AMn/FNjD50npl/xjjFZN2xvOJTCtBT6Es2LFmRNNoebHOXJXsiWRJB6GBLv/gacHgPc2J0uEk9WTzY3msyJkYbwTmFPmo0aSFBYUSE+z90fdIc1n/F0FlGKw+2QMrTHIwPKgnqwWZUpV+NmqlJokv2+p5DtriPnkTMVf4uT56qUokS41bP56qTXJVJiHD0i2QlFmKFfHdcrm5HJy1K/LKotUw6C+Zf6/nLiQEK44jCIPuosRV1sr68BMvrmSYBxzlK+VlB63GILqj8oBoI7p0XwUcaZJHLEi9CszNd9/zwyEPYEw8NH3lRKAS6404/L4BexgMRYcTzpIEDA7yisPyhplZXMF8xUYIJUxgLipVbZWXFxtMRWOATRk/NH439hFkCA/n9uiEDNYBeNs6qat4Ffeu5but/vIKY9edbAAA=</t>
        </r>
      </text>
    </comment>
  </commentList>
</comments>
</file>

<file path=xl/sharedStrings.xml><?xml version="1.0" encoding="utf-8"?>
<sst xmlns="http://schemas.openxmlformats.org/spreadsheetml/2006/main" count="75" uniqueCount="53">
  <si>
    <t>Disposable Income: SNA 2008</t>
  </si>
  <si>
    <t>Disposable Income per Capita: SNA 2008: IDR</t>
  </si>
  <si>
    <t>Disposable Income per Capita: SNA 2008: USD</t>
  </si>
  <si>
    <t>Disposable Income: SNA 1993: 2000 Series</t>
  </si>
  <si>
    <t>Disposable Income per Capita: SNA 1993: 2000 Series: IDR</t>
  </si>
  <si>
    <t>Disposable Income per Capita: SNA 1993: 2000 Series: USD</t>
  </si>
  <si>
    <t>Region</t>
  </si>
  <si>
    <t>Indonesia</t>
  </si>
  <si>
    <t>Subnational</t>
  </si>
  <si>
    <t>Frequency</t>
  </si>
  <si>
    <t>Annual, ending "Dec" of each year</t>
  </si>
  <si>
    <t>Unit</t>
  </si>
  <si>
    <t>IDR bn</t>
  </si>
  <si>
    <t>IDR th</t>
  </si>
  <si>
    <t>USD</t>
  </si>
  <si>
    <t>Source</t>
  </si>
  <si>
    <t>Statistics Indonesia</t>
  </si>
  <si>
    <t>Status</t>
  </si>
  <si>
    <t>Active</t>
  </si>
  <si>
    <t>Rebased</t>
  </si>
  <si>
    <t>Series ID</t>
  </si>
  <si>
    <t>372406017 (DAVEAFAKBCACJK)</t>
  </si>
  <si>
    <t>372406027 (DAVEAFAKBCACJL)</t>
  </si>
  <si>
    <t>372406037 (DAVEAFAKBCACJM)</t>
  </si>
  <si>
    <t>314604802 (DADAAAA)</t>
  </si>
  <si>
    <t>314604902 (DADAAAB)</t>
  </si>
  <si>
    <t>314605002 (DADAAAC)</t>
  </si>
  <si>
    <t>SR Code</t>
  </si>
  <si>
    <t>SR95730697</t>
  </si>
  <si>
    <t>SR95730707</t>
  </si>
  <si>
    <t>SR95730717</t>
  </si>
  <si>
    <t>SR5708549</t>
  </si>
  <si>
    <t>SR5708547</t>
  </si>
  <si>
    <t>SR5708548</t>
  </si>
  <si>
    <t>Trade Code</t>
  </si>
  <si>
    <t>Mnemonic</t>
  </si>
  <si>
    <t>Function Description</t>
  </si>
  <si>
    <t>First Obs. Date</t>
  </si>
  <si>
    <t>Last Obs. Date</t>
  </si>
  <si>
    <t>Last Update Time</t>
  </si>
  <si>
    <t>Series Remarks</t>
  </si>
  <si>
    <t>1. Changed from SNA 1993 to SNA 2008
2. Replacement series ID: 372406017</t>
  </si>
  <si>
    <t>Suggestions</t>
  </si>
  <si>
    <t>Mean</t>
  </si>
  <si>
    <t>Variance</t>
  </si>
  <si>
    <t>Standard Deviation</t>
  </si>
  <si>
    <t>Skewness</t>
  </si>
  <si>
    <t>Kurtosis</t>
  </si>
  <si>
    <t>Coefficient Variation</t>
  </si>
  <si>
    <t>Min</t>
  </si>
  <si>
    <t>Max</t>
  </si>
  <si>
    <t>Median</t>
  </si>
  <si>
    <t>No. of 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</si>
</sst>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yyyy"/>
    <numFmt numFmtId="165" formatCode="0.0\ %"/>
  </numFmts>
  <fonts count="7" x14ac:knownFonts="1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64" fontId="2" fillId="0" borderId="0" xfId="0" applyNumberFormat="1" applyFont="1"/>
    <xf numFmtId="164" fontId="3" fillId="0" borderId="0" xfId="0" applyNumberFormat="1" applyFont="1"/>
    <xf numFmtId="14" fontId="2" fillId="0" borderId="0" xfId="0" applyNumberFormat="1" applyFont="1"/>
    <xf numFmtId="14" fontId="3" fillId="0" borderId="0" xfId="0" applyNumberFormat="1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2" fontId="2" fillId="0" borderId="0" xfId="0" applyNumberFormat="1" applyFont="1"/>
    <xf numFmtId="2" fontId="3" fillId="0" borderId="0" xfId="0" applyNumberFormat="1" applyFont="1"/>
    <xf numFmtId="164" fontId="0" fillId="0" borderId="0" xfId="0" applyNumberFormat="1"/>
    <xf numFmtId="2" fontId="4" fillId="0" borderId="0" xfId="0" applyNumberFormat="1" applyFont="1"/>
    <xf numFmtId="2" fontId="0" fillId="0" borderId="0" xfId="0" applyNumberFormat="1"/>
    <xf numFmtId="165" fontId="0" fillId="0" borderId="0" xfId="2" applyNumberFormat="1" applyFont="1"/>
    <xf numFmtId="43" fontId="0" fillId="0" borderId="0" xfId="1" applyFont="1"/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workbookViewId="0">
      <selection activeCell="E1" sqref="E1"/>
    </sheetView>
  </sheetViews>
  <sheetFormatPr defaultRowHeight="14.75" x14ac:dyDescent="0.75"/>
  <cols>
    <col min="2" max="2" width="29.54296875" bestFit="1" customWidth="1"/>
    <col min="3" max="7" width="11.1796875" customWidth="1"/>
  </cols>
  <sheetData>
    <row r="1" spans="1:7" x14ac:dyDescent="0.75">
      <c r="A1" s="1" t="e">
        <f ca="1">CEIC.LINK("52199113-962b-4faa-8925-611f74aaa0c5", "Series")</f>
        <v>#NAME?</v>
      </c>
      <c r="B1" s="2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3" t="s">
        <v>5</v>
      </c>
    </row>
    <row r="2" spans="1:7" x14ac:dyDescent="0.75">
      <c r="A2" s="2" t="s">
        <v>6</v>
      </c>
      <c r="B2" s="2" t="s">
        <v>7</v>
      </c>
      <c r="C2" s="2" t="s">
        <v>7</v>
      </c>
      <c r="D2" s="2" t="s">
        <v>7</v>
      </c>
      <c r="E2" s="3" t="s">
        <v>7</v>
      </c>
      <c r="F2" s="3" t="s">
        <v>7</v>
      </c>
      <c r="G2" s="3" t="s">
        <v>7</v>
      </c>
    </row>
    <row r="3" spans="1:7" x14ac:dyDescent="0.75">
      <c r="A3" s="2" t="s">
        <v>8</v>
      </c>
      <c r="B3" s="2"/>
      <c r="C3" s="2"/>
      <c r="D3" s="2"/>
      <c r="E3" s="3"/>
      <c r="F3" s="3"/>
      <c r="G3" s="3"/>
    </row>
    <row r="4" spans="1:7" x14ac:dyDescent="0.75">
      <c r="A4" s="2" t="s">
        <v>9</v>
      </c>
      <c r="B4" s="2" t="s">
        <v>10</v>
      </c>
      <c r="C4" s="2" t="s">
        <v>10</v>
      </c>
      <c r="D4" s="2" t="s">
        <v>10</v>
      </c>
      <c r="E4" s="3" t="s">
        <v>10</v>
      </c>
      <c r="F4" s="3" t="s">
        <v>10</v>
      </c>
      <c r="G4" s="3" t="s">
        <v>10</v>
      </c>
    </row>
    <row r="5" spans="1:7" x14ac:dyDescent="0.75">
      <c r="A5" s="2" t="s">
        <v>11</v>
      </c>
      <c r="B5" s="2" t="s">
        <v>12</v>
      </c>
      <c r="C5" s="2" t="s">
        <v>13</v>
      </c>
      <c r="D5" s="2" t="s">
        <v>14</v>
      </c>
      <c r="E5" s="3" t="s">
        <v>12</v>
      </c>
      <c r="F5" s="3" t="s">
        <v>13</v>
      </c>
      <c r="G5" s="3" t="s">
        <v>14</v>
      </c>
    </row>
    <row r="6" spans="1:7" x14ac:dyDescent="0.75">
      <c r="A6" s="2" t="s">
        <v>15</v>
      </c>
      <c r="B6" s="2" t="s">
        <v>16</v>
      </c>
      <c r="C6" s="2" t="s">
        <v>16</v>
      </c>
      <c r="D6" s="2" t="s">
        <v>16</v>
      </c>
      <c r="E6" s="3" t="s">
        <v>16</v>
      </c>
      <c r="F6" s="3" t="s">
        <v>16</v>
      </c>
      <c r="G6" s="3" t="s">
        <v>16</v>
      </c>
    </row>
    <row r="7" spans="1:7" x14ac:dyDescent="0.75">
      <c r="A7" s="2" t="s">
        <v>17</v>
      </c>
      <c r="B7" s="2" t="s">
        <v>18</v>
      </c>
      <c r="C7" s="2" t="s">
        <v>18</v>
      </c>
      <c r="D7" s="2" t="s">
        <v>18</v>
      </c>
      <c r="E7" s="3" t="s">
        <v>19</v>
      </c>
      <c r="F7" s="3" t="s">
        <v>19</v>
      </c>
      <c r="G7" s="3" t="s">
        <v>19</v>
      </c>
    </row>
    <row r="8" spans="1:7" x14ac:dyDescent="0.75">
      <c r="A8" s="4" t="s">
        <v>20</v>
      </c>
      <c r="B8" s="4" t="s">
        <v>21</v>
      </c>
      <c r="C8" s="4" t="s">
        <v>22</v>
      </c>
      <c r="D8" s="4" t="s">
        <v>23</v>
      </c>
      <c r="E8" s="5" t="s">
        <v>24</v>
      </c>
      <c r="F8" s="5" t="s">
        <v>25</v>
      </c>
      <c r="G8" s="5" t="s">
        <v>26</v>
      </c>
    </row>
    <row r="9" spans="1:7" x14ac:dyDescent="0.75">
      <c r="A9" s="2" t="s">
        <v>27</v>
      </c>
      <c r="B9" s="2" t="s">
        <v>28</v>
      </c>
      <c r="C9" s="2" t="s">
        <v>29</v>
      </c>
      <c r="D9" s="2" t="s">
        <v>30</v>
      </c>
      <c r="E9" s="3" t="s">
        <v>31</v>
      </c>
      <c r="F9" s="3" t="s">
        <v>32</v>
      </c>
      <c r="G9" s="3" t="s">
        <v>33</v>
      </c>
    </row>
    <row r="10" spans="1:7" x14ac:dyDescent="0.75">
      <c r="A10" s="2" t="s">
        <v>34</v>
      </c>
      <c r="B10" s="2"/>
      <c r="C10" s="2"/>
      <c r="D10" s="2"/>
      <c r="E10" s="3"/>
      <c r="F10" s="3"/>
      <c r="G10" s="3"/>
    </row>
    <row r="11" spans="1:7" x14ac:dyDescent="0.75">
      <c r="A11" s="2" t="s">
        <v>35</v>
      </c>
      <c r="B11" s="2"/>
      <c r="C11" s="2"/>
      <c r="D11" s="2"/>
      <c r="E11" s="3"/>
      <c r="F11" s="3"/>
      <c r="G11" s="3"/>
    </row>
    <row r="12" spans="1:7" x14ac:dyDescent="0.75">
      <c r="A12" s="2" t="s">
        <v>36</v>
      </c>
      <c r="B12" s="2"/>
      <c r="C12" s="2"/>
      <c r="D12" s="2"/>
      <c r="E12" s="3"/>
      <c r="F12" s="3"/>
      <c r="G12" s="3"/>
    </row>
    <row r="13" spans="1:7" x14ac:dyDescent="0.75">
      <c r="A13" s="2" t="s">
        <v>37</v>
      </c>
      <c r="B13" s="6">
        <v>40513</v>
      </c>
      <c r="C13" s="6">
        <v>40513</v>
      </c>
      <c r="D13" s="6">
        <v>40513</v>
      </c>
      <c r="E13" s="7">
        <v>36861</v>
      </c>
      <c r="F13" s="7">
        <v>36861</v>
      </c>
      <c r="G13" s="7">
        <v>36861</v>
      </c>
    </row>
    <row r="14" spans="1:7" x14ac:dyDescent="0.75">
      <c r="A14" s="2" t="s">
        <v>38</v>
      </c>
      <c r="B14" s="6">
        <v>45627</v>
      </c>
      <c r="C14" s="6">
        <v>45627</v>
      </c>
      <c r="D14" s="6">
        <v>45627</v>
      </c>
      <c r="E14" s="7">
        <v>41609</v>
      </c>
      <c r="F14" s="7">
        <v>41609</v>
      </c>
      <c r="G14" s="7">
        <v>41609</v>
      </c>
    </row>
    <row r="15" spans="1:7" x14ac:dyDescent="0.75">
      <c r="A15" s="2" t="s">
        <v>39</v>
      </c>
      <c r="B15" s="8">
        <v>45966</v>
      </c>
      <c r="C15" s="8">
        <v>45966</v>
      </c>
      <c r="D15" s="8">
        <v>45805</v>
      </c>
      <c r="E15" s="9">
        <v>44169</v>
      </c>
      <c r="F15" s="9">
        <v>44169</v>
      </c>
      <c r="G15" s="9">
        <v>44169</v>
      </c>
    </row>
    <row r="16" spans="1:7" ht="206.5" x14ac:dyDescent="0.75">
      <c r="A16" s="10" t="s">
        <v>40</v>
      </c>
      <c r="B16" s="10"/>
      <c r="C16" s="10"/>
      <c r="D16" s="10"/>
      <c r="E16" s="11" t="s">
        <v>41</v>
      </c>
      <c r="F16" s="11"/>
      <c r="G16" s="11"/>
    </row>
    <row r="17" spans="1:7" x14ac:dyDescent="0.75">
      <c r="A17" s="4" t="s">
        <v>42</v>
      </c>
      <c r="B17" s="4"/>
      <c r="C17" s="4"/>
      <c r="D17" s="4"/>
      <c r="E17" s="5">
        <v>372406017</v>
      </c>
      <c r="F17" s="5">
        <v>372406027</v>
      </c>
      <c r="G17" s="5">
        <v>372406037</v>
      </c>
    </row>
    <row r="18" spans="1:7" x14ac:dyDescent="0.75">
      <c r="A18" s="12" t="s">
        <v>43</v>
      </c>
      <c r="B18" s="12">
        <v>10239587.589323429</v>
      </c>
      <c r="C18" s="12">
        <v>38712.606666666667</v>
      </c>
      <c r="D18" s="12">
        <v>2970.8466666666659</v>
      </c>
      <c r="E18" s="13">
        <v>3909225.7535714279</v>
      </c>
      <c r="F18" s="13">
        <v>16742.27285714286</v>
      </c>
      <c r="G18" s="13">
        <v>1785.72</v>
      </c>
    </row>
    <row r="19" spans="1:7" x14ac:dyDescent="0.75">
      <c r="A19" s="12" t="s">
        <v>44</v>
      </c>
      <c r="B19" s="12">
        <v>11612013002871.15</v>
      </c>
      <c r="C19" s="12">
        <v>121284060.5492381</v>
      </c>
      <c r="D19" s="12">
        <v>140242.82552380959</v>
      </c>
      <c r="E19" s="13">
        <v>5609651723622.8174</v>
      </c>
      <c r="F19" s="13">
        <v>85045182.897868142</v>
      </c>
      <c r="G19" s="13">
        <v>914789.4097384616</v>
      </c>
    </row>
    <row r="20" spans="1:7" x14ac:dyDescent="0.75">
      <c r="A20" s="12" t="s">
        <v>45</v>
      </c>
      <c r="B20" s="12">
        <v>3407640.3863775218</v>
      </c>
      <c r="C20" s="12">
        <v>11012.90427404316</v>
      </c>
      <c r="D20" s="12">
        <v>374.49008735053258</v>
      </c>
      <c r="E20" s="13">
        <v>2368470.3341234438</v>
      </c>
      <c r="F20" s="13">
        <v>9221.9945184254011</v>
      </c>
      <c r="G20" s="13">
        <v>956.44623985797637</v>
      </c>
    </row>
    <row r="21" spans="1:7" x14ac:dyDescent="0.75">
      <c r="A21" s="12" t="s">
        <v>46</v>
      </c>
      <c r="B21" s="12">
        <v>0.27644086520199568</v>
      </c>
      <c r="C21" s="12">
        <v>0.20391868363086221</v>
      </c>
      <c r="D21" s="12">
        <v>0.62359151230454357</v>
      </c>
      <c r="E21" s="13">
        <v>0.59356262841394158</v>
      </c>
      <c r="F21" s="13">
        <v>0.52571657550271345</v>
      </c>
      <c r="G21" s="13">
        <v>0.48689060326396288</v>
      </c>
    </row>
    <row r="22" spans="1:7" x14ac:dyDescent="0.75">
      <c r="A22" s="12" t="s">
        <v>47</v>
      </c>
      <c r="B22" s="12">
        <v>-0.91302566262076068</v>
      </c>
      <c r="C22" s="12">
        <v>-0.92363097912959313</v>
      </c>
      <c r="D22" s="12">
        <v>-0.45225531906218519</v>
      </c>
      <c r="E22" s="13">
        <v>-1.0607336939848271</v>
      </c>
      <c r="F22" s="13">
        <v>-1.177204933281417</v>
      </c>
      <c r="G22" s="13">
        <v>-1.319265162133709</v>
      </c>
    </row>
    <row r="23" spans="1:7" x14ac:dyDescent="0.75">
      <c r="A23" s="12" t="s">
        <v>48</v>
      </c>
      <c r="B23" s="12">
        <v>0.33279078445801719</v>
      </c>
      <c r="C23" s="12">
        <v>0.28447849995918201</v>
      </c>
      <c r="D23" s="12">
        <v>0.12605500362989649</v>
      </c>
      <c r="E23" s="13">
        <v>0.60586686045430704</v>
      </c>
      <c r="F23" s="13">
        <v>0.55082094271871618</v>
      </c>
      <c r="G23" s="13">
        <v>0.53560818037428959</v>
      </c>
    </row>
    <row r="24" spans="1:7" x14ac:dyDescent="0.75">
      <c r="A24" s="12" t="s">
        <v>49</v>
      </c>
      <c r="B24" s="12">
        <v>5214586.0725704003</v>
      </c>
      <c r="C24" s="12">
        <v>21862.400000000001</v>
      </c>
      <c r="D24" s="12">
        <v>2429.6999999999998</v>
      </c>
      <c r="E24" s="13">
        <v>1275928.3999999999</v>
      </c>
      <c r="F24" s="13">
        <v>6220</v>
      </c>
      <c r="G24" s="13">
        <v>696.3</v>
      </c>
    </row>
    <row r="25" spans="1:7" x14ac:dyDescent="0.75">
      <c r="A25" s="12" t="s">
        <v>50</v>
      </c>
      <c r="B25" s="12">
        <v>16194305.2774575</v>
      </c>
      <c r="C25" s="12">
        <v>57507.4</v>
      </c>
      <c r="D25" s="12">
        <v>3628.4</v>
      </c>
      <c r="E25" s="13">
        <v>8119874.2000000002</v>
      </c>
      <c r="F25" s="13">
        <v>32633.8</v>
      </c>
      <c r="G25" s="13">
        <v>3294.6</v>
      </c>
    </row>
    <row r="26" spans="1:7" x14ac:dyDescent="0.75">
      <c r="A26" s="12" t="s">
        <v>51</v>
      </c>
      <c r="B26" s="12">
        <v>10102551.130861999</v>
      </c>
      <c r="C26" s="12">
        <v>38575.4</v>
      </c>
      <c r="D26" s="12">
        <v>2882.1</v>
      </c>
      <c r="E26" s="13">
        <v>3250294.7</v>
      </c>
      <c r="F26" s="13">
        <v>14379.75</v>
      </c>
      <c r="G26" s="13">
        <v>1591.5</v>
      </c>
    </row>
    <row r="27" spans="1:7" x14ac:dyDescent="0.75">
      <c r="A27" s="2" t="s">
        <v>52</v>
      </c>
      <c r="B27" s="2">
        <v>15</v>
      </c>
      <c r="C27" s="2">
        <v>15</v>
      </c>
      <c r="D27" s="2">
        <v>15</v>
      </c>
      <c r="E27" s="3">
        <v>14</v>
      </c>
      <c r="F27" s="3">
        <v>14</v>
      </c>
      <c r="G27" s="3">
        <v>14</v>
      </c>
    </row>
    <row r="28" spans="1:7" x14ac:dyDescent="0.75">
      <c r="A28" s="14">
        <v>36861</v>
      </c>
      <c r="E28" s="15">
        <v>1275928.3999999999</v>
      </c>
      <c r="F28" s="15">
        <v>6220</v>
      </c>
      <c r="G28" s="15">
        <v>741</v>
      </c>
    </row>
    <row r="29" spans="1:7" x14ac:dyDescent="0.75">
      <c r="A29" s="14">
        <v>37226</v>
      </c>
      <c r="E29" s="15">
        <v>1482237.6</v>
      </c>
      <c r="F29" s="15">
        <v>7128.6</v>
      </c>
      <c r="G29" s="15">
        <v>696.3</v>
      </c>
    </row>
    <row r="30" spans="1:7" x14ac:dyDescent="0.75">
      <c r="A30" s="14">
        <v>37591</v>
      </c>
      <c r="E30" s="15">
        <v>1616834.9</v>
      </c>
      <c r="F30" s="15">
        <v>7672.3</v>
      </c>
      <c r="G30" s="15">
        <v>819.1</v>
      </c>
    </row>
    <row r="31" spans="1:7" x14ac:dyDescent="0.75">
      <c r="A31" s="14">
        <v>37956</v>
      </c>
      <c r="E31" s="15">
        <v>1763080.4</v>
      </c>
      <c r="F31" s="15">
        <v>8256</v>
      </c>
      <c r="G31" s="15">
        <v>962.2</v>
      </c>
    </row>
    <row r="32" spans="1:7" x14ac:dyDescent="0.75">
      <c r="A32" s="14">
        <v>38322</v>
      </c>
      <c r="E32" s="15">
        <v>2028794.4</v>
      </c>
      <c r="F32" s="15">
        <v>9376</v>
      </c>
      <c r="G32" s="15">
        <v>1041.0999999999999</v>
      </c>
    </row>
    <row r="33" spans="1:9" x14ac:dyDescent="0.75">
      <c r="A33" s="14">
        <v>38687</v>
      </c>
      <c r="E33" s="15">
        <v>2492957.7999999998</v>
      </c>
      <c r="F33" s="15">
        <v>11284.1</v>
      </c>
      <c r="G33" s="15">
        <v>1172.9000000000001</v>
      </c>
    </row>
    <row r="34" spans="1:9" x14ac:dyDescent="0.75">
      <c r="A34" s="14">
        <v>39052</v>
      </c>
      <c r="E34" s="15">
        <v>2975804.4</v>
      </c>
      <c r="F34" s="15">
        <v>13271.3</v>
      </c>
      <c r="G34" s="15">
        <v>1468.1</v>
      </c>
    </row>
    <row r="35" spans="1:9" x14ac:dyDescent="0.75">
      <c r="A35" s="14">
        <v>39417</v>
      </c>
      <c r="E35" s="15">
        <v>3524785</v>
      </c>
      <c r="F35" s="15">
        <v>15488.2</v>
      </c>
      <c r="G35" s="15">
        <v>1714.9</v>
      </c>
    </row>
    <row r="36" spans="1:9" x14ac:dyDescent="0.75">
      <c r="A36" s="14">
        <v>39783</v>
      </c>
      <c r="E36" s="15">
        <v>4472543.33</v>
      </c>
      <c r="F36" s="15">
        <v>19308.939999999999</v>
      </c>
      <c r="G36" s="15">
        <v>2022.93</v>
      </c>
    </row>
    <row r="37" spans="1:9" x14ac:dyDescent="0.75">
      <c r="A37" s="14">
        <v>40148</v>
      </c>
      <c r="E37" s="15">
        <v>4961430.58</v>
      </c>
      <c r="F37" s="15">
        <v>21134.31</v>
      </c>
      <c r="G37" s="15">
        <v>2076.6799999999998</v>
      </c>
    </row>
    <row r="38" spans="1:9" x14ac:dyDescent="0.75">
      <c r="A38" s="14">
        <v>40513</v>
      </c>
      <c r="B38" s="16">
        <v>5214586.0725704003</v>
      </c>
      <c r="C38" s="16">
        <v>21862.400000000001</v>
      </c>
      <c r="D38" s="16">
        <v>2429.6999999999998</v>
      </c>
      <c r="E38" s="15">
        <v>5760006.9400000004</v>
      </c>
      <c r="F38" s="15">
        <v>24149.07</v>
      </c>
      <c r="G38" s="15">
        <v>2683.87</v>
      </c>
      <c r="I38" s="17"/>
    </row>
    <row r="39" spans="1:9" x14ac:dyDescent="0.75">
      <c r="A39" s="14">
        <v>40878</v>
      </c>
      <c r="B39" s="16">
        <v>6003797.4216879001</v>
      </c>
      <c r="C39" s="16">
        <v>24810</v>
      </c>
      <c r="D39" s="16">
        <v>2852.7</v>
      </c>
      <c r="E39" s="15">
        <v>6688233.2000000002</v>
      </c>
      <c r="F39" s="15">
        <v>27638.400000000001</v>
      </c>
      <c r="G39" s="15">
        <v>3177.9</v>
      </c>
      <c r="I39" s="17">
        <f t="shared" ref="I39:I51" si="0">B39/B38-1</f>
        <v>0.15134688317235456</v>
      </c>
    </row>
    <row r="40" spans="1:9" x14ac:dyDescent="0.75">
      <c r="A40" s="14">
        <v>41244</v>
      </c>
      <c r="B40" s="16">
        <v>6548817.2981639002</v>
      </c>
      <c r="C40" s="16">
        <v>26683.599999999999</v>
      </c>
      <c r="D40" s="16">
        <v>2843.5</v>
      </c>
      <c r="E40" s="15">
        <v>7566649.4000000004</v>
      </c>
      <c r="F40" s="15">
        <v>30830.799999999999</v>
      </c>
      <c r="G40" s="15">
        <v>3294.6</v>
      </c>
      <c r="I40" s="17">
        <f t="shared" si="0"/>
        <v>9.0779191600834253E-2</v>
      </c>
    </row>
    <row r="41" spans="1:9" x14ac:dyDescent="0.75">
      <c r="A41" s="14">
        <v>41609</v>
      </c>
      <c r="B41" s="16">
        <v>7232275.2940274002</v>
      </c>
      <c r="C41" s="16">
        <v>29066.5</v>
      </c>
      <c r="D41" s="16">
        <v>2778</v>
      </c>
      <c r="E41" s="15">
        <v>8119874.2000000002</v>
      </c>
      <c r="F41" s="15">
        <v>32633.8</v>
      </c>
      <c r="G41" s="15">
        <v>3128.5</v>
      </c>
      <c r="I41" s="17">
        <f t="shared" si="0"/>
        <v>0.1043635766194182</v>
      </c>
    </row>
    <row r="42" spans="1:9" x14ac:dyDescent="0.75">
      <c r="A42" s="14">
        <v>41974</v>
      </c>
      <c r="B42" s="16">
        <v>7973881.3957171002</v>
      </c>
      <c r="C42" s="16">
        <v>31621.7</v>
      </c>
      <c r="D42" s="16">
        <v>2664.5</v>
      </c>
      <c r="I42" s="17">
        <f t="shared" si="0"/>
        <v>0.10254118815169244</v>
      </c>
    </row>
    <row r="43" spans="1:9" x14ac:dyDescent="0.75">
      <c r="A43" s="14">
        <v>42339</v>
      </c>
      <c r="B43" s="16">
        <v>8493271.3080401998</v>
      </c>
      <c r="C43" s="16">
        <v>33246.800000000003</v>
      </c>
      <c r="D43" s="16">
        <v>2485.4</v>
      </c>
      <c r="I43" s="17">
        <f t="shared" si="0"/>
        <v>6.5136398015911423E-2</v>
      </c>
    </row>
    <row r="44" spans="1:9" x14ac:dyDescent="0.75">
      <c r="A44" s="14">
        <v>42705</v>
      </c>
      <c r="B44" s="16">
        <v>9488426.0980133004</v>
      </c>
      <c r="C44" s="16">
        <v>36676.6</v>
      </c>
      <c r="D44" s="16">
        <v>2757.1</v>
      </c>
      <c r="I44" s="17">
        <f t="shared" si="0"/>
        <v>0.11716978698549663</v>
      </c>
    </row>
    <row r="45" spans="1:9" x14ac:dyDescent="0.75">
      <c r="A45" s="14">
        <v>43070</v>
      </c>
      <c r="B45" s="16">
        <v>10102551.130861999</v>
      </c>
      <c r="C45" s="16">
        <v>38575.4</v>
      </c>
      <c r="D45" s="16">
        <v>2882.1</v>
      </c>
      <c r="I45" s="17">
        <f t="shared" si="0"/>
        <v>6.4723593407897795E-2</v>
      </c>
    </row>
    <row r="46" spans="1:9" x14ac:dyDescent="0.75">
      <c r="A46" s="14">
        <v>43435</v>
      </c>
      <c r="B46" s="16">
        <v>10964199.116593</v>
      </c>
      <c r="C46" s="16">
        <v>41372</v>
      </c>
      <c r="D46" s="16">
        <v>2901.8</v>
      </c>
      <c r="I46" s="17">
        <f t="shared" si="0"/>
        <v>8.5290138557059691E-2</v>
      </c>
    </row>
    <row r="47" spans="1:9" x14ac:dyDescent="0.75">
      <c r="A47" s="14">
        <v>43800</v>
      </c>
      <c r="B47" s="16">
        <v>11500106.45207</v>
      </c>
      <c r="C47" s="16">
        <v>43085.8</v>
      </c>
      <c r="D47" s="16">
        <v>3045.4</v>
      </c>
      <c r="I47" s="17">
        <f t="shared" si="0"/>
        <v>4.8877928043642438E-2</v>
      </c>
    </row>
    <row r="48" spans="1:9" x14ac:dyDescent="0.75">
      <c r="A48" s="14">
        <v>44166</v>
      </c>
      <c r="B48" s="16">
        <v>11504819.244491</v>
      </c>
      <c r="C48" s="16">
        <v>42578.3</v>
      </c>
      <c r="D48" s="16">
        <v>2925.2</v>
      </c>
      <c r="I48" s="17">
        <f t="shared" si="0"/>
        <v>4.0980424317305086E-4</v>
      </c>
    </row>
    <row r="49" spans="1:9" x14ac:dyDescent="0.75">
      <c r="A49" s="14">
        <v>44531</v>
      </c>
      <c r="B49" s="16">
        <v>12660213.6301578</v>
      </c>
      <c r="C49" s="16">
        <v>46429</v>
      </c>
      <c r="D49" s="16">
        <v>3244.8</v>
      </c>
      <c r="I49" s="17">
        <f t="shared" si="0"/>
        <v>0.10042699160354496</v>
      </c>
    </row>
    <row r="50" spans="1:9" x14ac:dyDescent="0.75">
      <c r="A50" s="14">
        <v>44896</v>
      </c>
      <c r="B50" s="16">
        <v>14479961.9</v>
      </c>
      <c r="C50" s="16">
        <v>52516.9</v>
      </c>
      <c r="D50" s="16">
        <v>3537.1</v>
      </c>
      <c r="I50" s="17">
        <f t="shared" si="0"/>
        <v>0.14373756423093775</v>
      </c>
    </row>
    <row r="51" spans="1:9" x14ac:dyDescent="0.75">
      <c r="A51" s="14">
        <v>45261</v>
      </c>
      <c r="B51" s="16">
        <v>15232602.199999999</v>
      </c>
      <c r="C51" s="16">
        <v>54656.7</v>
      </c>
      <c r="D51" s="16">
        <v>3587</v>
      </c>
      <c r="I51" s="17">
        <f t="shared" si="0"/>
        <v>5.1978058036188601E-2</v>
      </c>
    </row>
    <row r="52" spans="1:9" x14ac:dyDescent="0.75">
      <c r="A52" s="14">
        <v>45627</v>
      </c>
      <c r="B52" s="16">
        <v>16194305.2774575</v>
      </c>
      <c r="C52" s="16">
        <v>57507.4</v>
      </c>
      <c r="D52" s="16">
        <v>3628.4</v>
      </c>
      <c r="I52" s="17">
        <f>B52/B51-1</f>
        <v>6.3134523230541806E-2</v>
      </c>
    </row>
    <row r="53" spans="1:9" x14ac:dyDescent="0.75">
      <c r="A53" s="14">
        <v>45992</v>
      </c>
      <c r="B53" s="18">
        <f>_xlfn.FORECAST.LINEAR(B52,B40:B52,B39:B51)</f>
        <v>17240319.322219297</v>
      </c>
      <c r="I53" s="17">
        <f t="shared" ref="I53:I58" si="1">B53/B52-1</f>
        <v>6.4591473782938502E-2</v>
      </c>
    </row>
    <row r="54" spans="1:9" x14ac:dyDescent="0.75">
      <c r="A54" s="14">
        <v>46357</v>
      </c>
      <c r="B54" s="18">
        <f t="shared" ref="B54:B58" si="2">_xlfn.FORECAST.LINEAR(B53,B41:B53,B40:B52)</f>
        <v>18320346.178707808</v>
      </c>
      <c r="I54" s="17">
        <f t="shared" si="1"/>
        <v>6.2645409072938252E-2</v>
      </c>
    </row>
    <row r="55" spans="1:9" x14ac:dyDescent="0.75">
      <c r="A55" s="14">
        <v>46722</v>
      </c>
      <c r="B55" s="18">
        <f t="shared" si="2"/>
        <v>19452841.328786947</v>
      </c>
      <c r="I55" s="17">
        <f t="shared" si="1"/>
        <v>6.1816252762480151E-2</v>
      </c>
    </row>
    <row r="56" spans="1:9" x14ac:dyDescent="0.75">
      <c r="A56" s="14">
        <v>47088</v>
      </c>
      <c r="B56" s="18">
        <f t="shared" si="2"/>
        <v>20649579.160976849</v>
      </c>
      <c r="I56" s="17">
        <f t="shared" si="1"/>
        <v>6.1519950323088768E-2</v>
      </c>
    </row>
    <row r="57" spans="1:9" x14ac:dyDescent="0.75">
      <c r="A57" s="14">
        <v>47453</v>
      </c>
      <c r="B57" s="18">
        <f t="shared" si="2"/>
        <v>21873835.020460099</v>
      </c>
      <c r="I57" s="17">
        <f t="shared" si="1"/>
        <v>5.9287206288291872E-2</v>
      </c>
    </row>
    <row r="58" spans="1:9" x14ac:dyDescent="0.75">
      <c r="A58" s="14">
        <v>47818</v>
      </c>
      <c r="B58" s="18">
        <f t="shared" si="2"/>
        <v>23197488.947275575</v>
      </c>
      <c r="I58" s="17">
        <f t="shared" si="1"/>
        <v>6.0513116496369923E-2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SR95730697</Code>
          <DisplayName>Disposable Income: SNA 2008</DisplayName>
          <EndCol>2</EndCol>
          <EndRow>52</EndRow>
          <InitCol>2</InitCol>
          <InitRow>1</InitRow>
          <Name>Disposable Income: SNA 2008</Name>
          <Order>1</Order>
          <SeriesId>372406017</SeriesId>
        </MetadataSeries>
        <MetadataSeries>
          <Code>SR95730707</Code>
          <DisplayName>Disposable Income per Capita: SNA 2008: IDR</DisplayName>
          <EndCol>3</EndCol>
          <EndRow>52</EndRow>
          <InitCol>3</InitCol>
          <InitRow>1</InitRow>
          <Name>Disposable Income per Capita: SNA 2008: IDR</Name>
          <Order>2</Order>
          <SeriesId>372406027</SeriesId>
        </MetadataSeries>
        <MetadataSeries>
          <Code>SR95730717</Code>
          <DisplayName>Disposable Income per Capita: SNA 2008: USD</DisplayName>
          <EndCol>4</EndCol>
          <EndRow>52</EndRow>
          <InitCol>4</InitCol>
          <InitRow>1</InitRow>
          <Name>Disposable Income per Capita: SNA 2008: USD</Name>
          <Order>3</Order>
          <SeriesId>372406037</SeriesId>
        </MetadataSeries>
        <MetadataSeries>
          <Code>SR5708549</Code>
          <DisplayName>Disposable Income: SNA 1993: 2000 Series</DisplayName>
          <EndCol>5</EndCol>
          <EndRow>52</EndRow>
          <InitCol>5</InitCol>
          <InitRow>1</InitRow>
          <Name>Disposable Income: SNA 1993: 2000 Series</Name>
          <Order>4</Order>
          <SeriesId>314604802</SeriesId>
        </MetadataSeries>
        <MetadataSeries>
          <Code>SR5708547</Code>
          <DisplayName>Disposable Income per Capita: SNA 1993: 2000 Series: IDR</DisplayName>
          <EndCol>6</EndCol>
          <EndRow>52</EndRow>
          <InitCol>6</InitCol>
          <InitRow>1</InitRow>
          <Name>Disposable Income per Capita: SNA 1993: 2000 Series: IDR</Name>
          <Order>5</Order>
          <SeriesId>314604902</SeriesId>
        </MetadataSeries>
        <MetadataSeries>
          <Code>SR5708548</Code>
          <DisplayName>Disposable Income per Capita: SNA 1993: 2000 Series: USD</DisplayName>
          <EndCol>7</EndCol>
          <EndRow>52</EndRow>
          <InitCol>7</InitCol>
          <InitRow>1</InitRow>
          <Name>Disposable Income per Capita: SNA 1993: 2000 Series: USD</Name>
          <Order>6</Order>
          <SeriesId>314605002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05C76639-D125-40E6-A501-A56278D22CA4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Alfan Mansur</cp:lastModifiedBy>
  <dcterms:created xsi:type="dcterms:W3CDTF">2026-01-30T02:42:48Z</dcterms:created>
  <dcterms:modified xsi:type="dcterms:W3CDTF">2026-02-01T09:05:01Z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{05C76639-D125-40E6-A501-A56278D22CA4}</vt:lpwstr>
  </property>
</Properties>
</file>