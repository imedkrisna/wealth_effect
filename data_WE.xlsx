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fan\Documents\0. Gawean\0. DEN\17. Wealth effect saham\"/>
    </mc:Choice>
  </mc:AlternateContent>
  <xr:revisionPtr revIDLastSave="0" documentId="13_ncr:1_{F95D3300-9DA2-4A42-84F7-BEE54B9C9CE1}" xr6:coauthVersionLast="47" xr6:coauthVersionMax="47" xr10:uidLastSave="{00000000-0000-0000-0000-000000000000}"/>
  <bookViews>
    <workbookView xWindow="-90" yWindow="-90" windowWidth="19380" windowHeight="11460" tabRatio="731" xr2:uid="{4E7D543F-B718-4731-A65E-E096DA20B62B}"/>
  </bookViews>
  <sheets>
    <sheet name="Daily" sheetId="8" r:id="rId1"/>
    <sheet name="Monthly" sheetId="2" r:id="rId2"/>
    <sheet name="Annual" sheetId="3" r:id="rId3"/>
    <sheet name="PPh" sheetId="1" r:id="rId4"/>
    <sheet name="National_income" sheetId="4" r:id="rId5"/>
    <sheet name="RSI" sheetId="5" r:id="rId6"/>
    <sheet name="7DRR" sheetId="6" r:id="rId7"/>
    <sheet name="C quarterly" sheetId="7" r:id="rId8"/>
  </sheets>
  <calcPr calcId="191029"/>
  <pivotCaches>
    <pivotCache cacheId="0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7" l="1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73" i="7"/>
  <c r="F73" i="7"/>
  <c r="E74" i="7"/>
  <c r="F74" i="7"/>
  <c r="E75" i="7"/>
  <c r="F75" i="7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6" i="7"/>
  <c r="F86" i="7"/>
  <c r="E87" i="7"/>
  <c r="F87" i="7"/>
  <c r="E88" i="7"/>
  <c r="F88" i="7"/>
  <c r="E89" i="7"/>
  <c r="F89" i="7"/>
  <c r="E90" i="7"/>
  <c r="F90" i="7"/>
  <c r="F32" i="7"/>
  <c r="E32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28" i="7"/>
  <c r="A1" i="7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2" i="2"/>
  <c r="A1" i="6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2" i="2"/>
  <c r="A1" i="5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C2" i="2"/>
  <c r="B2" i="2"/>
  <c r="H8" i="3"/>
  <c r="K74" i="1" s="1"/>
  <c r="G8" i="3"/>
  <c r="K8" i="3"/>
  <c r="K3" i="3"/>
  <c r="K4" i="3"/>
  <c r="K5" i="3"/>
  <c r="K6" i="3"/>
  <c r="K7" i="3"/>
  <c r="H7" i="3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3" i="3"/>
  <c r="I4" i="3"/>
  <c r="I5" i="3"/>
  <c r="I6" i="3"/>
  <c r="I7" i="3"/>
  <c r="I8" i="3"/>
  <c r="I2" i="3"/>
  <c r="E8" i="3"/>
  <c r="C8" i="3"/>
  <c r="J8" i="3"/>
  <c r="J4" i="3"/>
  <c r="J5" i="3"/>
  <c r="J6" i="3"/>
  <c r="J7" i="3"/>
  <c r="J3" i="3"/>
  <c r="E3" i="3"/>
  <c r="E4" i="3"/>
  <c r="E5" i="3"/>
  <c r="E6" i="3"/>
  <c r="E7" i="3"/>
  <c r="E2" i="3"/>
  <c r="K83" i="1" l="1"/>
  <c r="K80" i="1"/>
  <c r="K81" i="1"/>
  <c r="K82" i="1"/>
  <c r="K75" i="1"/>
  <c r="K76" i="1"/>
  <c r="K84" i="1"/>
  <c r="K85" i="1"/>
  <c r="K79" i="1"/>
  <c r="K77" i="1"/>
  <c r="K78" i="1"/>
  <c r="H2" i="3" l="1"/>
  <c r="G3" i="3"/>
  <c r="H3" i="3" s="1"/>
  <c r="G4" i="3"/>
  <c r="H4" i="3" s="1"/>
  <c r="G5" i="3"/>
  <c r="H5" i="3" s="1"/>
  <c r="G6" i="3"/>
  <c r="H6" i="3" s="1"/>
  <c r="G7" i="3"/>
  <c r="G2" i="3"/>
  <c r="F3" i="3"/>
  <c r="F4" i="3"/>
  <c r="F5" i="3"/>
  <c r="F6" i="3"/>
  <c r="F7" i="3"/>
  <c r="F8" i="3"/>
  <c r="F2" i="3"/>
  <c r="C3" i="3"/>
  <c r="C4" i="3"/>
  <c r="C5" i="3"/>
  <c r="C6" i="3"/>
  <c r="C7" i="3"/>
  <c r="C2" i="3"/>
  <c r="A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2" i="1"/>
  <c r="H81" i="1"/>
  <c r="H74" i="1"/>
  <c r="G73" i="1"/>
  <c r="H73" i="1" s="1"/>
  <c r="I73" i="1" s="1"/>
  <c r="G66" i="1"/>
  <c r="H65" i="1"/>
  <c r="E66" i="1"/>
  <c r="H66" i="1" s="1"/>
  <c r="J66" i="1" s="1"/>
  <c r="I83" i="1" l="1"/>
  <c r="I84" i="1"/>
  <c r="I85" i="1"/>
  <c r="H82" i="1" l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H35" i="1"/>
  <c r="I35" i="1" s="1"/>
  <c r="H36" i="1"/>
  <c r="I36" i="1" s="1"/>
  <c r="H37" i="1"/>
  <c r="I37" i="1" s="1"/>
  <c r="H38" i="1"/>
  <c r="H39" i="1"/>
  <c r="I39" i="1" s="1"/>
  <c r="H40" i="1"/>
  <c r="I40" i="1" s="1"/>
  <c r="H41" i="1"/>
  <c r="I41" i="1" s="1"/>
  <c r="H42" i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H59" i="1"/>
  <c r="I59" i="1" s="1"/>
  <c r="H60" i="1"/>
  <c r="I60" i="1" s="1"/>
  <c r="H61" i="1"/>
  <c r="I61" i="1" s="1"/>
  <c r="H62" i="1"/>
  <c r="H63" i="1"/>
  <c r="I63" i="1" s="1"/>
  <c r="H64" i="1"/>
  <c r="I64" i="1" s="1"/>
  <c r="I65" i="1"/>
  <c r="H67" i="1"/>
  <c r="H68" i="1"/>
  <c r="I68" i="1" s="1"/>
  <c r="H69" i="1"/>
  <c r="I69" i="1" s="1"/>
  <c r="H70" i="1"/>
  <c r="I70" i="1" s="1"/>
  <c r="H71" i="1"/>
  <c r="I71" i="1" s="1"/>
  <c r="H72" i="1"/>
  <c r="H75" i="1"/>
  <c r="J75" i="1" s="1"/>
  <c r="H76" i="1"/>
  <c r="I76" i="1" l="1"/>
  <c r="H77" i="1"/>
  <c r="I72" i="1"/>
  <c r="J73" i="1"/>
  <c r="I67" i="1"/>
  <c r="I75" i="1"/>
  <c r="J42" i="1"/>
  <c r="I42" i="1"/>
  <c r="J38" i="1"/>
  <c r="I38" i="1"/>
  <c r="J14" i="1"/>
  <c r="I14" i="1"/>
  <c r="J58" i="1"/>
  <c r="I58" i="1"/>
  <c r="J34" i="1"/>
  <c r="I34" i="1"/>
  <c r="J26" i="1"/>
  <c r="I26" i="1"/>
  <c r="J74" i="1"/>
  <c r="I74" i="1"/>
  <c r="J62" i="1"/>
  <c r="I62" i="1"/>
  <c r="H3" i="1"/>
  <c r="J4" i="1" s="1"/>
  <c r="H2" i="1"/>
  <c r="J2" i="1" s="1"/>
  <c r="J50" i="1"/>
  <c r="I50" i="1"/>
  <c r="J76" i="1"/>
  <c r="J18" i="1"/>
  <c r="J84" i="1"/>
  <c r="J65" i="1"/>
  <c r="J57" i="1"/>
  <c r="J49" i="1"/>
  <c r="J41" i="1"/>
  <c r="J33" i="1"/>
  <c r="J25" i="1"/>
  <c r="J17" i="1"/>
  <c r="J9" i="1"/>
  <c r="J69" i="1"/>
  <c r="J60" i="1"/>
  <c r="J52" i="1"/>
  <c r="J44" i="1"/>
  <c r="J36" i="1"/>
  <c r="J28" i="1"/>
  <c r="J20" i="1"/>
  <c r="J85" i="1"/>
  <c r="J10" i="1"/>
  <c r="J72" i="1"/>
  <c r="J63" i="1"/>
  <c r="J55" i="1"/>
  <c r="J47" i="1"/>
  <c r="J39" i="1"/>
  <c r="J31" i="1"/>
  <c r="J23" i="1"/>
  <c r="J15" i="1"/>
  <c r="J7" i="1"/>
  <c r="J13" i="1"/>
  <c r="J71" i="1"/>
  <c r="J54" i="1"/>
  <c r="J46" i="1"/>
  <c r="J30" i="1"/>
  <c r="J22" i="1"/>
  <c r="J6" i="1"/>
  <c r="J70" i="1"/>
  <c r="J59" i="1"/>
  <c r="J51" i="1"/>
  <c r="J43" i="1"/>
  <c r="J35" i="1"/>
  <c r="J27" i="1"/>
  <c r="J19" i="1"/>
  <c r="J68" i="1"/>
  <c r="J64" i="1"/>
  <c r="J56" i="1"/>
  <c r="J48" i="1"/>
  <c r="J40" i="1"/>
  <c r="J32" i="1"/>
  <c r="J24" i="1"/>
  <c r="J16" i="1"/>
  <c r="J8" i="1"/>
  <c r="J61" i="1"/>
  <c r="J53" i="1"/>
  <c r="J45" i="1"/>
  <c r="J37" i="1"/>
  <c r="J29" i="1"/>
  <c r="J21" i="1"/>
  <c r="J5" i="1"/>
  <c r="J12" i="1"/>
  <c r="J11" i="1"/>
  <c r="J77" i="1" l="1"/>
  <c r="H78" i="1"/>
  <c r="I66" i="1"/>
  <c r="J3" i="1"/>
  <c r="J67" i="1" l="1"/>
  <c r="I82" i="1"/>
  <c r="J83" i="1"/>
  <c r="I78" i="1" l="1"/>
  <c r="I77" i="1" l="1"/>
  <c r="J78" i="1"/>
  <c r="J82" i="1"/>
  <c r="I81" i="1"/>
  <c r="H80" i="1" s="1"/>
  <c r="J81" i="1" s="1"/>
  <c r="I80" i="1" l="1"/>
  <c r="H79" i="1" s="1"/>
  <c r="J79" i="1" s="1"/>
  <c r="I79" i="1" l="1"/>
  <c r="J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17CD1F7-DBE1-4416-9CE7-B9D0219B0118}">
      <text>
        <r>
          <rPr>
            <sz val="8"/>
            <color indexed="81"/>
            <rFont val="Tahoma"/>
            <family val="2"/>
          </rPr>
          <t>E1AAAB+LCAAAAAAAAAPtXGtv4jgX/isRn982CZcClSerAO0O2wJVYS79NDKJod46Tl7bacu/X9nOFUKHMLOjqRZppInPLb6e85xDavDHa0CMZ8Q4DumHhn1uNQxEvdDHdP2hEYvVmX3R+MMBV68eIneQwQAJxLjxGhDKL1+5/6HxKER0aZovLy/nL63zkK3NpmXZ5tfJ7dx7RAFsZML4+8JnmHIBqYcaDnCjaB7GzENjX5v40BjPx+dDhL0RFHACKVwjdj6IOaaI8ysqsMCIN5zhaDJFrwKYBQsOcBmDm/kjQoLXMmc6YOgHEySgDwWs1xMwZAgKNBxNBjEmvtM8vzi3z21gbtFzuc96KbRkQS6lJ5IjKNACB8hpWs2LM6t5ZtkLy7q0WpedTqqVyYBbyMUcsWfsKcJcwCCSmh3btjpWx76wOsCsFAJmYewOGMaMISrUbhiG5BYHWNSbEQuYVUYcMApfKAmh7/JxANeonlXBYgTMLRO5zXtI61rUO14pOuAaMy6+yr4nT5rykFEe9Bx/dZJ5/KrbD07H1oQHB6itN4UBciYbY44YRhyYORGYxTeapa4nvXE9gUNae74LuomhISKk9iFQmn8yGD3K/h6vvcCC1Fa/DhnyIBdH9XxMOV4/ippuRCryGfGTk1dv2leQcATMogEH3GL6VNeXrXxkLZtNdOb7K++s3fPsM3ixXJ3B7rK77HvdfqtvAVNbdoC2EyAqJqFfc8fbwCyrO2CKXmbsHj1jjvxFdIs4XzxiJjYjuKm9CLPl38gTVz4WsrNHastNdI0JOt6E8gw/ZuIOrn9Aex4vF5uo9gHQyrU1ndTR5PoOmBE/WdSjjpM2eYt5TdefKDpgKDfX/L7X77R73W4XmIoAhmFMBds4Y+qHFHEMJUOTUp4SHI8yRklRudFdZe1dC43b0IPEuUdRvCTYM8KVUa2k5ZKY522GIU1w0jyOopCJJOrs5wM5H0vIkeqmO79yp8As0TIJ1UklYdwxFOA4MFJWrqJHUmzpLn6a3kxnX6ZlwaT3EgTMVq4vAZ1jWZZ9pv4psCD/KaVcAowwjwjUkzaFMmZAYoypFwbIiBAzhjDCAl4a86lrNC2rd2m4lMaQALOomZrRKz72ndZF96Lfa9ndTC5jlWUXcO2M/vo6uL6auq7rDmbjLQ0pkKp8olg449F9JqIIRa6ehW2RZG6uqC8HL5FQ+8xulqclZYJrhv4fywV2HhBkZAPMnJIz9RLbBaZe4FJzxvAaU0h2BTNOrjBC3GM4UmFbz/H/DETlKhmNEfIacuMi6D0aGwRZwVxRr9KaHv0CPsYU0mrFZIIy1p8sjCM1oIeCQk6tkMxGVKlRMV7FU7tnZ55zVoX4vuFsCYDrmCoMVBimmVOvGAuZ7JnpgI+QX72KexRA9sSdKTDLBKBiiNqNqk8WMLcoYMyHkHgxgQKlL8ghwS4LjPmuWJGrnaqfeJy8DcZ8il4SvzqVnLwJxvxT5EOBfE0wHXCDNrbsrvpfIVSX89DD6pynB9LUHK2b5hidM9s+szqF87ElA27hJozFXEARy1cd4UD01OUrdoeoDyMoIDWmkGtD0sLNjoVs8QvLPY2DuxBTwR27A8y8BWbMR0yiHf0A7qDMRsz04QZt5BTljYSuQqedMnQgvWOhH3siiUpTYBYJKTebkjsWPmMfMdMByVZSwVQtsg6Jw1632eoAs0hMJdTs/MlCzo1sWpM3GJD6yRRnunoyC41kTqXGk+FDalRN74DFIizZSGZzjiLIoAhZuj9zApjrA4cyaFD297mj1096PpxFyknaJW7J93kCP6OydMnH7WHonrtPAq/2Kmej05FlSVCy/FsUsD84FaJSkj2rZRtejYfu/ErxMyLQ1YjEzeiGWijZMcwF9ngRixQECsK6zwOo1jDmUBip9lNRJR2agEwkUc62dqJczgZqsKqbi0Gv17R7wMxJmqu6op6M8ejcHV4a+094oq17nz2mznqJSGri7WNeMJOMaAHZGgnlpxZhhD3d5bveRd9uAzMnaW7ZD7meJ/EdT+SSzqWPe91OQTztxCaSS5gDEI08PnHEkv0+kv641C5wda+KfN2VvC03VElA7TDZVG9KWPqtSYJpOuDLXA39yfpWhNcJFXyZZ1FuVyRnpXITxDlcy2F+CdkTj6Cqo1nALDbTA7CD7tu9Vs/q907g/p2Ce7vfb13K+GolxaoDkb7dstvtrmUfBPTd+4n7K/C93Trh+xO+r8b3D/8xfF/EZvtEKjIAhR2avZ+cAbzhZY5JB7Q5aUnZ/G5m0K7IDJqnzODfzAzy+LAnMRgcmhjcIxkO/WMzgztEkYARpMYNCpaQ4JpZgv1mlqAj2ztKDqxTcvAfSQ7sbwV0XpkbbEn87NSg3+m2rIv+qfD/u+YG8jnk+iiro5sX275X5+8229aFdWCd3/185V67N4OhO/zr5oA8wFjSA1IBY4IJlpD5VPE/ZQSniv8vrfi/6TneQPRzDCNjhJeIQPo3fIJ0W++wqn7rhN3/1ap+7t3fX1W/+TZeL4eidwTcD6/q2+2Lvt08BLnvHONjAPvOmX4fcF2BjN8LsTe/FUFzJWTfFvnZmL3TtXqddv8E2d8XZN+pr30Pv9vtC6vds5qH4feR/Bn01wL3Uyn/BNxPpfxdQFa3lG+1fw60r/Aw9XH+Vt2+Trm+fYL8/yrkzwPCO6/Xt97G/0koe0fA//CK/Qn4v1Pg3/pWQN6VuH9L4mfDfv2FUPNUqv9dcX91INn9vHbn17jDPti36n+w//FUyD/lA79HPnAq5B9dyP8Bv3LIhzsKn1Z8wl/5i3+dXwA6p3TgF3zXb73LXwDaB3/X//FdJQJ1vuu3+51D8oB9xz/5233jjmHvqNxg2wN8hGwNjQFiBD7FpzzhyDyh/a0I1SsThW2RH84Ukgf5d8DZOQpdv/Yf2aeqI0SQqP130an2JHyurStndKb8Rb2/gXaAy5/mSAhM1zx1nEUScGMRrrAYhiQOaC5SpoIBgfRptuS6D841JgKxWazOLf+CxeM0nC05MLfktB4fxlyEwQK9yhinG1LxOmQBlKS84cgXB1BgT2cSCVXnHQwjKtSRcbmXXqSxy9gWHnEvHVYFB4yQhwNI7gj0EJc/vZYJYIRWMCZiexK3yWlaoEacCRVpYBRS4RLExAhzL6QC0xj5mWglM9cpoazsFpFKZnaZyJhKoCbv7cjfssMpS8sDNAjDp0qFjJnpzCjZLBikfBWyIOvAlm61UGYjjzxbl6MUGFkWVZlz5lkUJiTdgmpXumlfKjhA7+K98rs8ebeHh67o+hbSdSzvbUmlt+lA3R+iL4HQWziR3KGDMfVI7KPEF9OVIsvDk8DwfWwwgeIx8QnDkBANmKSPMxX0nC05Ys9a1rYU/iySQOEcjGl60PU7K1llhfvwJVvnXYYEmhFi0gUNQuJfhzSbgAoO2Bmc9tSQbvQtEhxfik2EPjReuX/JBcN03XC8vLQCzET0ezo8XtIk5h6ss0pTPZkqySh0sKaf1wIO72GGng5XqQaWB+t7dcbEWS1xwaCPak1aQFEQUun/D12fJIP1jxg6T7HnwRpIu5qD5UkpgT1YjensrNZrKrLsgr6555DNH8MXGXS1w8tyqzJVSclx66u2tJco05SI9PTzeCkXYon80aBoboenNAoQM7daxJ15elDp+ovZAwqikEGSljS2wk7al++JZXYmMRE4k9KOVoJ7HKBrpgqsRCLwrAk+MZKGLkfeHscvTdPzg3MPYU9eSnbuhYEkmMPR5MscmEV5IEOMvMqIDCHBSwaLZZpKXg595URJKMxgJDFWppW2NSBPRuCAzxi91L9g6jPmMSSqnl0TglrALCqnpup3wdy62s/5BwktiPUTUAA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fmgAAB+LCAAAAAAAAAPtXWtv4roW/StWpZHO+dAm4VVAnhxRoDPcKVA1zOvTyCQu9SVxuLbTln9/ZTsvIBTSdqR2TqSRBu+H49feXsspBv7zGPjgHjNOQvrxxDozTwCmbugRuvh4EonbU6t18o8Nh48u9q8RQwEWmHHwGPiUdx+59/HkTohV1zAeHh7OHupnIVsYNdO0jB/jK8e9wwE6SY3JYeNTQrlA1MUnNuytVk4YMRePPF3Fx5ORMzrrY+IOkEBjRNECs7OLiBOKOR9SQQTB/MTuD8YT/CigkavBhj3G0Nq5w1jwUtUZNux7wRgL5CGByrUE9hlGAvcH44uI+J5dO2udWWcWNLbkmd03PRXaMmeXyGPLARJ4RgJs18xa69S0TuvmzGx0G2a3cZ54pTbwCnHhYHZPXCVwBApWytO0rJpZN5v1FjQKjaCR67sN+xFjmAq1Gvqhf0UCIsqNiAmNokpsOAgfqB8ir8dHAVrgcrUKFmFobFWR1XmDaNka9YpXjja8JIyLH7Lt8Sct+ZlKfuox/mGf63H8ocs/7UaroyU/bajW3gQF2B6vgYMZwRwamRAa+UcaG22Pm9NzBQlp6QHP+cYV9bHvl44C5fmJodWdbO/zvWdE+KXdL0OGXcTFs1o+opws7kTJPCId+dT34tArN+y3yOcYGvkKbHhF6LJsMpu7rteo33ZOG6iJThvNJjrt1N3Wace8xdjCpjmfm9DQNdtQ1xNgKsahV3LJW9DYdLfhBD9M2Q2+Jxx7s9UV5nx2R5hYD9C69CRM5//Frhh6RMjGPtNbLqJL4uPnV6FSw8uquEaLF3g70Xy2XpUOAO1c2tNOEk3mb8Op78WT+qxw0lVeEV4y98eONuzLxeXcNNvt83anDg1Vhv0wooKt7RH1Qoo5QVKhRYlOGY4GqWLDUWXRXWedXHOFq9BFvn2DV9HcJy4Ib0Gxk7aL9zx33Q9pjJOcaLUKmUhifL8BlOMxRxyrdvacYW8CjQ1ZaqFaqSzANcMBiQKQqDIX3ZV8Sbfx6+TLZPp9smkYN1+igOltz5OIzjZN0zpV/2am2VX/lFNmAQeEr3ykR+0GC0R84CAfc+BE7B6vu+AGIx9saEbUw4/QyHsm1egZH3l2vVZrN61zs5bapapN2xla2IPP/+n1er0tU6lJbL9SIuyaaZkfLdWFnDRvoseg0C4eniH1ZP8lGmqeWrXNkUmU8JLh/0Vyju1xSMWdv4ZGJsq0akrHOZ2e443ilJEFocjfsUsVmf0Ac5eRldq4dx+c1xb66C5eRD6iiBY7xqOQqj6xMFrtdCOTFlgWdmhXu+WpcdBOnzJdgf2+/mwZwMuIKrCT66eRSYeMhUw2zbDhZ8SHj+IGB4gtuf0TGpsCqDYLtfpUm0xobEngiPeR70Y+Ejh5QLb376rgiO+a5bU6e3oxos3KcMQn+CFOoBOpyYpwxL+uPCSwpwWGDb/gtSWbq/5XWLTHeegSJJ+TRJ6hNdp3g01YtVwUbNnAK7QOI+EIJCL5qGdkCj102YwpBwKuMf1vhHxEwdDFDNGusl/ynOKGEF/7x3M9iYLrkFDBbatTg0ZWhFPmYSZBjf4Ar5FkHUby4QteywHKCrFc7ZBWotD75TULvcgV8e4zgUZekGjTAblm4T3xMDNsGC8ktWeqKdY7X7993qmb0MgLEws1NoMwwFwQF8wY8nBqqMctV9CDcI2ZhxaILhAFA+SjAEzwAjOy4RePl4NXiCERsmT5ZQLo6HjC6Ra/mbezhK0/6Q7bs0QTlze0+RwlGcg93rTeyGF7FLrlvaUgt3ud097pjWLu43h+tySwYJPJ7S4x/1UT0h+O+j1nqPSpEOrzhDh96IKalQtEl3kckVPlzOIMttc26YZATMTbkmXubNiZGqqOqZbNLtqdTrMDjUyktaoN6hMYDc4+D7qgTLCC+Rr0kcCLUMPIrMqsdt3qGZpjP3lEuYgGY0wjFgnwJX5S7jnxkMwQW2ChctYsXBFX9/m63epYbWhkIq0tCCKAqAc+hxHHd6Hvxd2OPeP+JB8LokpXtQQeoknfbqIA3YEZoosFytWTtHe9kitkC6dogPKVYxYH00Dm8o1yTquataHXDc3KctFuGKhVLIvqSbFKPzVmoYYNvztqqJbmrxwGj4Xwu5NukDsWmSYxG2PO0UL29HvIlnyF1FmbCY18MQmxQgLQscyKALwzAiCFmIHh4wq7QkGKrrbpAnnwCupAITt+DCeoNctwgi+HOMGHQ2Tgw2EWYFUsoGIBFQt4NRZwfLo4mhgMl3yFlwLxVNnNrLqgDuZyfYA1oguAlogC+f6CLvZSB6uAOtQq6vBy6qDT+/ujDtZh6vDlz6EOdbPVap+fP5s85EKbg9uQgWtGXA25teFfikz8/XL+kAv8z4gtEPgaRIGC5ZntX5pk/P1nsYgPb40+WL9yCL6QPmxZ/A760G63Kvrwh9GHVhn60CpDH64q+lDRh4o+/Fn0ofXq9KH1GvShXtGHV6APrfdJH2qH6cNVRR8q+vAvpg+1XzkEX0gftix+C33oNCv68AfQh0+YYoZ8nTie8xaiU4ZGTCsaUdGIika8fxrxdNp4EZ3I4MUrvY5oVHziFfhE533yifphPjGt+ETFJ/7FfKL+KwfpC/nElsXveR1R8Yk/lU+UeS1RN8vwieuKT1R8ouITfyafeKXXE3k+8SrvJ5oVn3g5n9B5/v3xicZhPnFd8YmKT/yL+UTjVw7SF/KJLYvX5hM1q2nVm03rvGIUb5VRpOMCHBG6SzB8dO/kfR36e06PXTAa/AD9MFiFnAh8gDg0a+dWs23JPHWQOBib/GDSO0QQtiyqbz9XDGGLIUwqhhAzBLMsQyibBraJwEXEOALDW5wDP8lXJdOvTGo84KA7FIBPaB6pPfev0Wfn09/7cH+zCPe33izurz+B+x3sRkzdIwLGiC2xOAj9EUcMOHgp3RB/DcSfS9DvD/E3n0D8xkvwfbLY1XYMRlRgRlWgIR+ou72w9zToL1lBEROon5qto5hA47xtNesHmcBwMDpzhl2wP7DT5L0f8efqKQ7wNJcfj+Nr53tw/CWhiLoE+Wl4PAHaVWh8VQcGT0FyiRneFiZv/tqAxYWofMfmtXF5o13rNGvVOf8bRuUCs7k8Sugj35ehKkm8BQZofQCCW42G2amZ1lFH9+P+wRuKPoAVOnh0D1aYAYHuIlpB9AqiVxD9N0H0J3LCNh7PNkjQowIxIM8lpfVnJM+OC8F2o1EvANvnbxRs1xpPHbJng3WDxMFDdidaRuBC8pHcaL0G3s6y8fuD260nD9jV1vGWT9etTrtzataOxdSt8/ZBTD3ud0FRFKo1dhSgTo/QZVV7YvQ5mLqxB1Or1mIu1Km4vICWLGhKAVSz+VMwOxcX8kR8QnxEwCxaIga+IT8SCPQ4OYTBNYJ4Wyi89SsHggsx+JbFixF4/EFeOZrGUdjzSt/nm7gOsI9F6StYE+9xeF/aV47ndKXfIJW7NLXHlw4WgtAFT/JmXgR7kQhvieiHfhTQzGRTCi98RJfTOddtsC+JLzCbRiqc+Xci7ibhdM6hsWWn/Xg/4iIMZvhRbmC6IB0vQxYgKcoKtnxwgARxNUKPpRrPM4Kpfo3W425yafeuYtt4wN2kWwUaOMAuCZB/7SMXc/nNq00BHOBbFPliexC3xQkyVz1OjfIyOAip6PmYiQHhbkgFoRH2UtNCZeazgYDSG8sLlenF5SMqQZS8Ijx7yo5m01oG0EUYLgsdUmXqM6X+esYQ5bchC9IGbPkWG6V1yC2RyJeIfOsi9pwi5TGFXC7jMcT3kyWoVmUvaUuBBupVvNd+VyevEXfxkC6uEF1E8o74xHpbDtVV5fq+ab2EY8sdORxR1488HGdieqvEMnhiiLxPDcdI3MU5oR/6vsZLMscZClhO5xyze20rL1DYEsFcHIxoEuj6mYWqTYeb8CGd512FRJErzGQKugh97zKkIq66QAF3+qYTNaJrfV81J12xXuGPJ4/c63LBCF2c2G52ZAGN2PSQD4/mydHg0T63CQuTLEZuQkd7ehkZP76FKaY63qUYVx7t75bpE2elzIX8q4BSgxZQHIRUpv9j5ycml94zus4TRHq0B9aZ5mh7f4NbHu3GNPMq9ZgCApzzN/YEmXMXPsg9V+e7lFltSpWV7Lf+VQ8dyZsyZSITvRPN5UTMsTe4yFe3o1MeOXyZ1ZoHnRlpKMz8eU6Bg1XIkJ+cNmztOklbDpml9YwjX5DUSudZif5JgC+ZOrf0fWhkRfiV+cnOZcsfquFdw3C94MzFxJV/YHfmhoEUGP3B+LsDjbw9lDuM/NEEv498Mmcof4JSqMuQrxwoiYQZWkmIlXolZY3G4x7Y8BvBD+V/yuIb4RHy1TlxSQRqQiPvnFRVvgnG1q8I2f8HhTJiiH5oAAA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FEFBC515-8C44-4D18-8BDE-09C5E618EAD8}">
      <text>
        <r>
          <rPr>
            <sz val="8"/>
            <color indexed="81"/>
            <rFont val="Tahoma"/>
            <family val="2"/>
          </rPr>
          <t>FCAAAB+LCAAAAAAAAAOlWdtu4zgS/RUhwDwmlJ3OpQ22Br5l1khsB7G7070vC1oq2xxTpJakkvjvByR1oWwHHWWAABGrzikWb8UqGv/5lrLgBaSign8761yEZwHwWCSUb76d5Xp93rk++zPC47cY2CORJAUNUgVvKeOq96aSb2dbrbMeQq+vrxevlxdCblA3DDvo5/RhEW8hJWcVmP4efE650oTHcBbhfpYtRC5jmCTOxLezyWJyMQQaj4gmU8LJBuTFIFeUg1JjrqmmoM6i4Wg6gzeNkWchwn0pyX6xBdCqlTkU4WGSTkGThGjSzhM8lEA0DEfTQU5ZEnUvri86Fx2MDuQ17odbCof0cKW8QI6IhiVNIeqG3evzsHsedpbh1173S6/7pWRVGPxAlF6AfKGxFSw0STPLDDvdTvg17Ia3GJ0EYeSNPcLDXErg2u6GoWAPNKW63YyEGJ0yEuGReOVMkKSvJinZQDurWuaA0YGJ2uYT4W0tuh1viRG+o1Lpn8b34stJflWSX26Of0YdN48/XftX1Ln64iS/Imz33oykEE33wQIkBYVRLcTI7xI1fC/c6ceaCt56wj1uYWgIjLU+BZb5lyTZ1vj7efaSataafickxETpT3k+4YputrplHDFENWdJcfTaTfuaMAUY+QYi/ED5rm0wW13B1eX6Njlfh+ub8y9Xq6tzsrq5Or+Ey+tVcnnTvb4iGDnLEXZ2UuB6KpKWW76DUZMe4Rm8zuUTvFAFyTJ7AKWWWyr1fkT2rRdhvvobYj1OqDbOfpJtNtEdZfB5EzY0/DsTj2TzL9iLfLXcZ60PgCO3ZkZloKn5EZ6zpFjUTx0nZ/KBqpaxvyBGeGg21+Lp62339vaqe4ORFeChyLmW+2jCE8FBUWIUTlTqLHAyqhQNog2jx2QXXb3Gg4gJi54gy1eMxoFYB6dJDldcevF+KHiRKC3yLBNSl4f8fQA2E7IiCqyf/cW4P8OoIasQ1kuLCB4lpDRPg1JVU9xQ/Jbz8fvsfjZ/njWBhfsmDZiv+4lJ6aIwDDvn9m8Zhj37Z0k1Ao+oyhhxs/YoGI33wRPR0AumguttMOZJr56vXjCYnBs1Rj6vNOIWfJJElzfX3e5N9/KmwlWqJnZJNtGo/2Pcv+vfD4b90ei/BwwDKCnfOdXRH0FGKoyV+Go3CX8EGchAk23OG9BiisY8MXNQJFMHs1Mq8Z2E/+dmnSM7E2yPUS2qtXZZp57OrXOjOZd0QzlhR7hKUeNHoGJJM3t7H3fsa09y3BAHOSOc8NPEYhYq1V9S5NnRMGrpCeTJAR1rD5guGToaU607gX9vPAcAfJdzm/F440S1dCylkMY1FOH/EDV+00+QErlT0S+MmgJsbwy7+axPIUYHEjxRQ8LinBENZQd1AnCswhN1DPO1LoQmRVpbt/FEzeC1iKIzo6mbeKK+ZwnRkDgBivA97DvGXfvfJqR9pURMiemnPH/IaRzXKyk6513/FBxg8APZi1wvNNG56ap1tHATV6/XkvLNjujgHlb0b7IjvBf0d1sqA7vS79soVnuWp4+Ccq2iTvcWo7qJ5zIBaXIb94EfiSk+UPlxD3szRXWjkNuLslMq3LX5KEWSx7q4g2YY+YJSW03JoxQvNAGJIlxsJXt12kV2F+Dw9qZ7+RUjX1gi7Pw8ADcxOXDD9TU+zE3BIt/lwSDnGxLcS0iobhCKaVpARiTRQpb7rhbghTtIUF3wzbBdx2v35cYZLUtN0W5o/eBk6o8XaKIbwesdhfO8v9N0/S65Gp27IFYMimU9kOD37xjvcimKYLscw/Fk2F+Mrb4SYveoUIQP17CrMiB85+cSnsqDFRHsXWw5Gk2kLq6lztV5eN28lmo1tuOzni0Ht7edL1cY1SKntT7Yr2AyupgOeoHt30997JEFTeQ+8A5yYcqNofoszixZAWvY84wdHWjPUjHCJZEb0DYELUVGYzeEx9vrr+YRoxY5bZHdaZCgdEB4EpiakG54MH6Lt7bCNw6rgll4XH4eHZKE8GBGGaHBMt8RGfwgLNck6CvKN56J0tV9ZtbaSzhcpvFdgSxOxshE5Ebb01pvGnrnX902W68BsHvRNG1Phcr1WhSUKMLPCztDu/B/fjpdSPHzorrnjiG1qsRNQSmyMeN8FnKnMmIfzkKM/GZ5VKoPUwdUJ0v0k9ZFdkkdAQPdui4q2VPx0pprZnRuI0i7GijCfbVbgNaUb1QZSn0R7udarKkeCpanvIY0pXjACN/NV8r5EN1RpkHOc3us1TPV25mYrxRGBzjHU8NcaZEu4c3cZq5hiHdCpsSI6kZkOk6JprFL9gupKw0kBa5tStBXcfmSdqw4BI9UXA7rhAaPIKYpYY+MxKCiLkZNAR7BmuRMH07iobhM5e2IK5AvwyPBdZ+B1COqYsE15TkkFfSksuY0UqbqGfGksnpNnHCTdZl3u7qXI00TbQ7QQIjdSUKlrDhzzvZLSbhaC5lWDhxwT4MqG+aSpErTWB28jnqKqvA5WRbWhQ9lrNyCdlf2S19OaLDbxe/ij3XmbS+GMd88EL7JzcNtiT6UY/t+6B6B3BYukEdyPOExyxMoYjFfW7E5PEVO/Z4aT4neFjFhKBhzKZSJcchmmfOVAvnisJ3QZpq+CHvnYMLLg+76PKlqEp7Ea7XOxwqTUmYgTQgaCJbcCV5NwAkNPhqci9SE790rkqI9vc/g29mbSnpKS8o3Z1FcP39gVEB/x1H5itsOCPswZ13WbabuMbfQh5lJXb5/3MMqufo45XSq+WF+3GZMSraCa0kSaDVpKYdUcBP/P7o+RTmafGLoqkxNP8wAF2o+jGeNavTDNOnqsFbdnCiZPT5655AttuLVXLou4FXVVlNqUWbc7rc2FyWaMgsxkX6Rr8xCrCAZDXxzRzrL8FLM2qqfd9bVw8nQ7xcXkGZCEla+TxxcO6Uvv4NVdqY507RCuUBrCgCawp20b6CMYVQ38XfJyqsrMj8fqx5CcZJexEBj86vkRSxSI0DD0fR5gZGPx+aKMT9lsCFhdCWJ/+ZyUlenvmaiTCosSWZyrIpVtl1CXowgwj8ovLb/gekHVTlh9s25ZQoaYuSTS1PtXUAHv+1H/wBcfK53FCAAAA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FD1F9FB-AC78-4189-825D-EBFCAE7A36B4}">
      <text>
        <r>
          <rPr>
            <sz val="8"/>
            <color indexed="81"/>
            <rFont val="Tahoma"/>
            <family val="2"/>
          </rPr>
          <t>uSwAAB+LCAAAAAAAAAPtWmtv2zgW/SuCP9eR5LwNVgPHTlpP40djt2k+DWjpxuGGIjUklcT/fkFST1tprXQX2FmkCFDz3nPIy9d9SEJ/vMTUeQIhCWcfO/6B13GAhTwibP2xk6r7rn/S+SNAly8h0DkWOAYFQjovMWWy/yKjj50HpZK+6z4/Px88Hx5wsXZ7nue7PybXi/ABYtwpwOTX4C5hUmEWQidAgyRZ8FSEMI5sFx8748X4YAgkHGGFJ5jhNYiDi1QSBlJeMkUUAdkJhqPJFF4Ucis9BGggBN4sHgCUbNWdG6BhFE9A4Qgr3M4SNBSAFQxHk4uU0CjoHZwc+Ac+crfkJe673QqLrOByeYYcYQVLEkPQ83onXc/vHnpL76h/dNT3z3NWgUHXWKoFiCcSGsFC4TjRzGPf9469Y6/nHSO3EYTcytwDNEyFAKbMaRhyek1iotqtiIfcpk4CNOLPjHIcDeQ4xmto16sSKSB3q4uyzxvM2vZoT7whBuiKCKl+aNuzX1ZyV0ju7Br/CHp2HX/Y9l1wdm4FdwEyR2+KYwgmG2cBgoBEbilEbnVEt2Z6Zs0gVISz1utd4WYdDYHS1pfAMD8JnDxoe9/OXhJFW9OvuIAQS/Umy8dMkvWDaulGNFHOaJTdvHbLfo+pBORWOwjQNWGPbX3Z2fGq5x+tzrrh+Qp3j+Bw1T07O466J8e9c+8eR6uTEJBrew6Q7ScGpiY8annifeTW6QGawvNM3MATkRAtk2uQcvlAhNqM8Kb1JsxW/4JQXUZEaWPfyNaH6IpQeHsXxjP8XhdzvP4N9iJdLTdJ6wtgya2ZQe5oSn6AZjTKNvVN18l2eU1kS9efEQM01IdrcXN2enTq9Y5PkWsEaMhTpsQmGLOIM5AEa4UV5ToDHI8KRY1o3Ogu2XrXSuOah5gGN5CkK0pCh987zSSLy2JeuBlyluVJizRJuFBZ1Hldj/R6rLAEY+ZgcTmYIrcmKxDGSINw5gJiksZOriopdibVljXx2/TLdHY7rQMz63USMLsfRDqhCzzP87vmb+l5ffNnSCUCjYhMKLaL9klwKZ0Rj0EqEjpzwaM0VH1nMR04Pc876zs9z/cS5FZJeQ92s8dRcHhyfHp0ftQ7LXCFqo5d4nUw+vPHxdXldKD//Xm3xdCAnPKNERWMRzfOihUoI6sC7Bpo1IRQgkUNmS3QJYv0Cph0qOud19cmV6IrAX+nepeDrykWCgTdILcUlnqzrV/9itJudK05E2RNGKa7wEJTEkYgQ0ESE76LwT84wPSGOZ0JFh+cP1MGH5wFJB+cEYSdSqdVdmOfdhmWgjynFDPMmrnZYhWqT4KniZ1rhVBKG5DlpJsYDRM3OnOmmta81DYwfjKpLQy6SplJjSqTdUvppRBcaPvcAH3G8vJF3UCMxaMM7pBbFyATWsxJNWZ5yN2SoLEcYhqmFCvIBygzhV0VGstdWFVrfW2UOaKyjcZyCs+Zu51qTdlEY/ktibCCyArcAH2Bja/NNf+bxHUgJQ8J1uPkl9W1GsvNS4/jru93vePKjdnCoGu84alaKKxSPVQ7v2JXrdwsg3zMmY/OhUgVf4WXbe80jeecMCWDk0Pkli00ExEInfTYH2iOdVHi5j++wEYvSdnI5CaC+rnCxtNsAllwmiK3Ksi1xRLMBX8iEQg3QNnRMTHVbKqNjMOz097hIXKrwhzxkwUsCHbZKo2frF6NlK3ZAhIssOIiP3WlAC3sNYIiD6h7+NK121921sEy12TtmrbqonSZ8gR1dM2FvaKwlg8eFbl/lVzMzsaSFYVsk7ck6PVwVIlDWalsNmd4OR4OFpdGXwiRffSQOQ/bMDujDSN642Q18agAKmBr8wWOMHPmqcTKydmPVUo+NYWFyqKZ73W9w3o0K9XITNaYubw4O/PPT5FbiqzWmGJ+OePRwWDQd167txcb5/Il0QFJpQL6zpCbhzjKmQuiq5Oyu7LnzEPjFdC8+1du9wRYKlLlzIGtgaZYYNZ3PmOxxs4XO1BlhGwhllisQRmnteQJCe1M52cn5/4RckuR1RrTpsbbYeoMwlDngDLDZXbnP7OrBCzCCVaYOVMsDa8Cz43YJHrna5mKTVG+SRDZTRlp/1xrV7TWsKreWlO29VGsAczZ1E0zUqayo2Z1qBug24WZ/aP3VzULz6TodlFEvV1IqcpxE5ASr/VMb7l4lAk2j9s85Fab+dV5pQg4fS8C/uFFgL31aWw8bd0dfOaphAdOo70KhcOj9oXC1/dC4b1Q+F8tFKbvhcJ/uVDYz/e8rZjoV/MOk3CksSTOTRrjB2eJ2XqN29Qbvfd64z9Vb5hA8c+rN/y9642v7/XGe73xf1Vv+H9VE/7GemMb8tv1hlu+rihuGh9Erd8F5tQRUFCtX9/k7Al/as3VKzozHqXdq5oADeTjApQibC1z11oVoUGq+D1RQ07TmJWQuhRdUMweZytpbQiuCFUgZqm52fKWqIcpn60kcrdwlieHqVQ8XsKLjnW2oYlXXMRYi8pGoAeOsSKhrUcyqa1eBAGmzJUZyDB/37+r2AaPZJhPq0GDRhCSGNM5xSFIHZzrAjSCe5xStb2I2+K8lDAzLkBVGRpxpgYUhBoRGXKmCEshKqCNypJTy8OKjx0alcU3D2OmUzn9eUE5yo6mjtYX6ILzx0ZCoSw4M0Y3S4GZvOciLgzY4jaDij7K2LT1DUdFUVRejZVrWXkRSvMjaE7lILelQYPsKX4Vv6vTnyCEcMnW15itU/15SY7eliPzmYN9V22PcIbckaMxC2kaQeaL2b0R68uTJeqvqdEEq4fMJww5pTal0j7ONSnobCVBPFms75k8tCpClXswZvlFt2M2quqEG/5c7POuQiecCQjtgi44ja44yx+SNCjQztyso8ZsY991S9JXmwQ+dl5k1JdKELbuBGH5fAa5GfRXHJmuWBZy9+bc57WgrqV0ENqbGZWPD/a3sEiv9qc0Z55788M2c5KiFVwJHEGrRYsZxJxp97/v/mQlbvSGqcs8Od2bAdbT7I2ntQp3b5qwRVqrYRrK8ArffeWSLR74s4651t8VxVddalB63vaDQHuT6zID0Y5+ka70RqwgGl1Uu9vRGUYlwyx7raadZf3Q6Pmr5QXECReY5s88tqJObsuvYEU/k5QqUqCsn9W5PYnhSpintFQn4EUTfRM0j1yB/sZV9l03jOKDEEioP508CHmsBe5wNLldILeKRzrC6A+u6BBTshK4+hynUVdmvnqhdCYscKJTrIKVt20+ns0gQN8JPLf/DO47kSmm5qF4ywzUQ26VnHfV3gR36wPk4N98yJ4suSwAAA==</t>
        </r>
      </text>
    </comment>
  </commentList>
</comments>
</file>

<file path=xl/sharedStrings.xml><?xml version="1.0" encoding="utf-8"?>
<sst xmlns="http://schemas.openxmlformats.org/spreadsheetml/2006/main" count="268" uniqueCount="123">
  <si>
    <t>PPh Ps 21</t>
  </si>
  <si>
    <t>PPh Ps 25/29 Personal</t>
  </si>
  <si>
    <t>PIT</t>
  </si>
  <si>
    <t>PIT_ytd</t>
  </si>
  <si>
    <t>PIT_flow</t>
  </si>
  <si>
    <t>PPh_nonmigas</t>
  </si>
  <si>
    <t>Share PIT to PPh nonmigas</t>
  </si>
  <si>
    <t>PPh Badan</t>
  </si>
  <si>
    <t>PPh Ps 21_flow APBN KITA</t>
  </si>
  <si>
    <t>Date</t>
  </si>
  <si>
    <t>Year</t>
  </si>
  <si>
    <t>Row Labels</t>
  </si>
  <si>
    <t>Grand Total</t>
  </si>
  <si>
    <t>Sum of PIT_flow</t>
  </si>
  <si>
    <t>National Income per Capita: SNA 2008: Annual</t>
  </si>
  <si>
    <t>National Income per Capita: SNA 1993: 2000 Series: Annual</t>
  </si>
  <si>
    <t>Disposable Income: SNA 2008</t>
  </si>
  <si>
    <t>Disposable Income: SNA 1993: 2000 Series</t>
  </si>
  <si>
    <t>Gross National Product: SNA 2008: Annual: National Income</t>
  </si>
  <si>
    <t>Region</t>
  </si>
  <si>
    <t>Indonesia</t>
  </si>
  <si>
    <t>Subnational</t>
  </si>
  <si>
    <t>Frequency</t>
  </si>
  <si>
    <t>Annual, ending "Dec" of each year</t>
  </si>
  <si>
    <t>Unit</t>
  </si>
  <si>
    <t>IDR</t>
  </si>
  <si>
    <t>IDR bn</t>
  </si>
  <si>
    <t>Source</t>
  </si>
  <si>
    <t>Statistics Indonesia</t>
  </si>
  <si>
    <t>Status</t>
  </si>
  <si>
    <t>Active</t>
  </si>
  <si>
    <t>Rebased</t>
  </si>
  <si>
    <t>Series ID</t>
  </si>
  <si>
    <t>367698317 (DJXBFENAAAABOI)</t>
  </si>
  <si>
    <t>13144701 (DARMA)</t>
  </si>
  <si>
    <t>372406017 (DAVEAFAKBCACJK)</t>
  </si>
  <si>
    <t>314604802 (DADAAAA)</t>
  </si>
  <si>
    <t>367698307 (DJXBFENAAAABOH)</t>
  </si>
  <si>
    <t>SR Code</t>
  </si>
  <si>
    <t>SR89548777</t>
  </si>
  <si>
    <t>SR4838098</t>
  </si>
  <si>
    <t>SR95730697</t>
  </si>
  <si>
    <t>SR5708549</t>
  </si>
  <si>
    <t>SR89548727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</si>
  <si>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</si>
  <si>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</si>
  <si>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</si>
  <si>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</si>
  <si>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</si>
  <si>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</si>
  <si>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</si>
  <si>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1. Changed from SNA 1993 to SNA 2008
2. Replacement series ID: 367698317</t>
  </si>
  <si>
    <t>1. Changed from SNA 1993 to SNA 2008
2. Replacement series ID: 372406017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</si>
  <si>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</si>
  <si>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</si>
  <si>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</si>
  <si>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</si>
  <si>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</si>
  <si>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</si>
  <si>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</si>
  <si>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</si>
  <si>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</si>
  <si>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</si>
  <si>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</si>
  <si>
    <t>PIT/income</t>
  </si>
  <si>
    <t>employment (juta)</t>
  </si>
  <si>
    <t>disposable income (Rp T)</t>
  </si>
  <si>
    <t>income per capita (Rp mn)</t>
  </si>
  <si>
    <t>PIT (Rp tn)</t>
  </si>
  <si>
    <t>national income (Rp T)</t>
  </si>
  <si>
    <t>taxable income (Rp T)</t>
  </si>
  <si>
    <t>income per capita growth</t>
  </si>
  <si>
    <t>PIT/taxable income</t>
  </si>
  <si>
    <t>income</t>
  </si>
  <si>
    <t>Income</t>
  </si>
  <si>
    <t>rsi</t>
  </si>
  <si>
    <t>[COVID-19-IMPACT]</t>
  </si>
  <si>
    <t>SR4829525</t>
  </si>
  <si>
    <t>SR215135517</t>
  </si>
  <si>
    <t>SR5887885</t>
  </si>
  <si>
    <t>SR5887895</t>
  </si>
  <si>
    <t>SR5887886</t>
  </si>
  <si>
    <t>SR5887910</t>
  </si>
  <si>
    <t>SR5887893</t>
  </si>
  <si>
    <t>14409201 (DMCA)</t>
  </si>
  <si>
    <t>322853002 (DHJAAAP)</t>
  </si>
  <si>
    <t>322852902 (DHJAAAO)</t>
  </si>
  <si>
    <t>322852602 (DHJAAAL)</t>
  </si>
  <si>
    <t>322852502 (DHJAAAK)</t>
  </si>
  <si>
    <t>322851702 (DHJAAAA)</t>
  </si>
  <si>
    <t>Bank Indonesia</t>
  </si>
  <si>
    <t>Exchange Data International Limited</t>
  </si>
  <si>
    <t>% pa</t>
  </si>
  <si>
    <t>NA</t>
  </si>
  <si>
    <t>%</t>
  </si>
  <si>
    <t>2010=100</t>
  </si>
  <si>
    <t>Monthly</t>
  </si>
  <si>
    <t>Interbank Call Money: 1 Day</t>
  </si>
  <si>
    <t>Indonesia Stock Exchange: Index: IDX Composite</t>
  </si>
  <si>
    <t>Retail Sales Survey: Retailer Expectation: General Price: Next 6 Months</t>
  </si>
  <si>
    <t>Retail Sales Survey: Retailer Expectation: General Price: Next 3 Months</t>
  </si>
  <si>
    <t>Retail Sales Survey: Retailer Expectation: Sales: Next 6 Months</t>
  </si>
  <si>
    <t>Retail Sales Survey: Retailer Expectation: Sales: Next 3 Months</t>
  </si>
  <si>
    <t>Retail Sales Survey: Real Retail Sales Index</t>
  </si>
  <si>
    <t>Policy Rate: Month End: Indonesia: BI-Rate</t>
  </si>
  <si>
    <t>376227237 (DAVEAFAKBCADDZ)</t>
  </si>
  <si>
    <t>SR98288527</t>
  </si>
  <si>
    <t>1. The Bank of Indonesia announced 7 Days Reverse Repo Rate as new policy rate effective August 19th, 2016.
2. For Policy Rate prior to August 2016, please refer to the 1 Month Bank Indonesia Certificates Auction Rate.
3. From 21 December 2023, Bank Indonesia will change the name of its policy rate to BI Rate, replacing the BI 7-Day Reverse Repo. The new name doesn't change the meaning or objectives of the BI-Rates as the monetary policy stance of Bank Indonesia, with operationalisation still referring to Bank Indonesia reverse repo transaction with a tenor of seven days.
[COVID-19-IMPACT]</t>
  </si>
  <si>
    <t>ir</t>
  </si>
  <si>
    <t>puab</t>
  </si>
  <si>
    <t>Gross Domestic Product: SNA 2008: 2010p</t>
  </si>
  <si>
    <t>Gross Domestic Product: SNA 2008: 2010p: Consumption Expenditure: Household</t>
  </si>
  <si>
    <t>Quarterly, ending "Mar, June, Sep, Dec"</t>
  </si>
  <si>
    <t>365749427 (DJXBFENAAAAAJY)</t>
  </si>
  <si>
    <t>365749347 (DJXBFENAAAAAJQ)</t>
  </si>
  <si>
    <t>SR87470257</t>
  </si>
  <si>
    <t>SR87470277</t>
  </si>
  <si>
    <t>ID.GDP.RL.IDR-BN-Q</t>
  </si>
  <si>
    <t>ID.GDPFCECHH.RL.IDR-BN-Q</t>
  </si>
  <si>
    <t>RSI</t>
  </si>
  <si>
    <t>ihk</t>
  </si>
  <si>
    <t>infl</t>
  </si>
  <si>
    <t>ihsg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</si>
</sst>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mm/yyyy"/>
    <numFmt numFmtId="165" formatCode="_-* #,##0.00\ _€_-;\-* #,##0.00\ _€_-;_-* &quot;-&quot;??\ _€_-;_-@_-"/>
    <numFmt numFmtId="166" formatCode="0.0\ %"/>
    <numFmt numFmtId="167" formatCode="yyyy"/>
    <numFmt numFmtId="168" formatCode="mm/dd/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color indexed="81"/>
      <name val="Tahoma"/>
      <family val="2"/>
    </font>
    <font>
      <sz val="11"/>
      <color rgb="FF0000FF"/>
      <name val="Aptos Narrow"/>
      <family val="2"/>
      <scheme val="minor"/>
    </font>
    <font>
      <b/>
      <u/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0" applyNumberFormat="1"/>
    <xf numFmtId="2" fontId="0" fillId="0" borderId="0" xfId="0" applyNumberFormat="1"/>
    <xf numFmtId="43" fontId="0" fillId="0" borderId="0" xfId="1" applyFont="1"/>
    <xf numFmtId="43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43" fontId="3" fillId="0" borderId="0" xfId="1" applyFont="1"/>
    <xf numFmtId="43" fontId="2" fillId="0" borderId="0" xfId="1" applyFont="1"/>
    <xf numFmtId="166" fontId="0" fillId="0" borderId="0" xfId="2" applyNumberFormat="1" applyFont="1"/>
    <xf numFmtId="43" fontId="4" fillId="0" borderId="0" xfId="1" applyFont="1"/>
    <xf numFmtId="43" fontId="5" fillId="0" borderId="0" xfId="1" applyFont="1"/>
    <xf numFmtId="43" fontId="1" fillId="0" borderId="0" xfId="1" applyFont="1"/>
    <xf numFmtId="0" fontId="0" fillId="0" borderId="0" xfId="0" applyAlignment="1">
      <alignment vertical="top" wrapText="1"/>
    </xf>
    <xf numFmtId="2" fontId="2" fillId="0" borderId="0" xfId="0" applyNumberFormat="1" applyFont="1"/>
    <xf numFmtId="0" fontId="5" fillId="0" borderId="0" xfId="0" applyFont="1" applyAlignment="1">
      <alignment vertical="top" wrapText="1"/>
    </xf>
    <xf numFmtId="0" fontId="5" fillId="0" borderId="0" xfId="0" applyFont="1"/>
    <xf numFmtId="2" fontId="5" fillId="0" borderId="0" xfId="0" applyNumberFormat="1" applyFont="1"/>
    <xf numFmtId="164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7" fontId="1" fillId="0" borderId="0" xfId="0" applyNumberFormat="1" applyFont="1"/>
    <xf numFmtId="167" fontId="8" fillId="0" borderId="0" xfId="0" applyNumberFormat="1" applyFont="1"/>
    <xf numFmtId="14" fontId="1" fillId="0" borderId="0" xfId="0" applyNumberFormat="1" applyFont="1"/>
    <xf numFmtId="14" fontId="8" fillId="0" borderId="0" xfId="0" applyNumberFormat="1" applyFont="1"/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2" fontId="1" fillId="0" borderId="0" xfId="0" applyNumberFormat="1" applyFont="1"/>
    <xf numFmtId="2" fontId="8" fillId="0" borderId="0" xfId="0" applyNumberFormat="1" applyFont="1"/>
    <xf numFmtId="167" fontId="0" fillId="0" borderId="0" xfId="0" applyNumberFormat="1"/>
    <xf numFmtId="43" fontId="8" fillId="0" borderId="0" xfId="1" applyFont="1"/>
    <xf numFmtId="10" fontId="0" fillId="0" borderId="0" xfId="2" applyNumberFormat="1" applyFont="1"/>
    <xf numFmtId="165" fontId="5" fillId="0" borderId="0" xfId="0" applyNumberFormat="1" applyFont="1"/>
    <xf numFmtId="10" fontId="5" fillId="0" borderId="0" xfId="2" applyNumberFormat="1" applyFont="1"/>
    <xf numFmtId="166" fontId="5" fillId="0" borderId="0" xfId="2" applyNumberFormat="1" applyFont="1"/>
    <xf numFmtId="2" fontId="10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14" fontId="3" fillId="0" borderId="0" xfId="0" applyNumberFormat="1" applyFont="1"/>
    <xf numFmtId="164" fontId="3" fillId="0" borderId="0" xfId="0" applyNumberFormat="1" applyFont="1"/>
    <xf numFmtId="0" fontId="11" fillId="0" borderId="0" xfId="0" applyFont="1"/>
    <xf numFmtId="164" fontId="1" fillId="0" borderId="0" xfId="0" applyNumberFormat="1" applyFont="1"/>
    <xf numFmtId="166" fontId="12" fillId="0" borderId="0" xfId="2" applyNumberFormat="1" applyFont="1"/>
    <xf numFmtId="168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an mansur" refreshedDate="46054.732912615742" createdVersion="8" refreshedVersion="8" minRefreshableVersion="3" recordCount="84" xr:uid="{8C28DE20-BC55-42AC-8610-DF109306D6A1}">
  <cacheSource type="worksheet">
    <worksheetSource ref="A1:J85" sheet="PPh"/>
  </cacheSource>
  <cacheFields count="10">
    <cacheField name="Date" numFmtId="164">
      <sharedItems containsSemiMixedTypes="0" containsNonDate="0" containsDate="1" containsString="0" minDate="2019-01-01T00:00:00" maxDate="2025-12-02T00:00:00"/>
    </cacheField>
    <cacheField name="Year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PPh_nonmigas" numFmtId="43">
      <sharedItems containsSemiMixedTypes="0" containsString="0" containsNumber="1" minValue="39.017199999999995" maxValue="996.83420000000001"/>
    </cacheField>
    <cacheField name="PPh Badan" numFmtId="0">
      <sharedItems containsString="0" containsBlank="1" containsNumber="1" minValue="21.9" maxValue="321.39999999999998"/>
    </cacheField>
    <cacheField name="PPh Ps 21" numFmtId="0">
      <sharedItems containsString="0" containsBlank="1" containsNumber="1" minValue="14.36" maxValue="243.8"/>
    </cacheField>
    <cacheField name="PPh Ps 21_flow APBN KITA" numFmtId="0">
      <sharedItems containsString="0" containsBlank="1" containsNumber="1" minValue="10.4" maxValue="34.799999999999997"/>
    </cacheField>
    <cacheField name="PPh Ps 25/29 Personal" numFmtId="0">
      <sharedItems containsString="0" containsBlank="1" containsNumber="1" minValue="0.36" maxValue="16.82"/>
    </cacheField>
    <cacheField name="PIT_ytd" numFmtId="43">
      <sharedItems containsSemiMixedTypes="0" containsString="0" containsNumber="1" minValue="12.173617954876761" maxValue="257.18"/>
    </cacheField>
    <cacheField name="Share PIT to PPh nonmigas" numFmtId="0">
      <sharedItems containsString="0" containsBlank="1" containsNumber="1" minValue="0.18896567030369815" maxValue="0.37726951190756897"/>
    </cacheField>
    <cacheField name="PIT_flow" numFmtId="43">
      <sharedItems containsSemiMixedTypes="0" containsString="0" containsNumber="1" minValue="9.6499999999999915" maxValue="35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d v="2019-01-01T00:00:00"/>
    <x v="0"/>
    <n v="49.878399999999999"/>
    <m/>
    <m/>
    <m/>
    <m/>
    <n v="12.173617954876761"/>
    <m/>
    <n v="12.173617954876761"/>
  </r>
  <r>
    <d v="2019-02-01T00:00:00"/>
    <x v="0"/>
    <n v="91.773200000000003"/>
    <m/>
    <m/>
    <m/>
    <m/>
    <n v="22.398711171499006"/>
    <m/>
    <n v="10.225093216622245"/>
  </r>
  <r>
    <d v="2019-03-01T00:00:00"/>
    <x v="0"/>
    <n v="142.815"/>
    <m/>
    <n v="35.1"/>
    <m/>
    <n v="6.5"/>
    <n v="41.6"/>
    <n v="0.29128592934915803"/>
    <n v="19.201288828500996"/>
  </r>
  <r>
    <d v="2019-04-01T00:00:00"/>
    <x v="0"/>
    <n v="232.73099999999999"/>
    <m/>
    <n v="46.47"/>
    <m/>
    <n v="7.29"/>
    <n v="53.76"/>
    <n v="0.2309963004498756"/>
    <n v="12.159999999999997"/>
  </r>
  <r>
    <d v="2019-05-01T00:00:00"/>
    <x v="0"/>
    <n v="295.49430000000001"/>
    <m/>
    <n v="65.22"/>
    <m/>
    <n v="7.62"/>
    <n v="72.84"/>
    <n v="0.24650221679402953"/>
    <n v="19.080000000000005"/>
  </r>
  <r>
    <d v="2019-06-01T00:00:00"/>
    <x v="0"/>
    <n v="347.26830000000001"/>
    <m/>
    <n v="78.08"/>
    <m/>
    <n v="7.94"/>
    <n v="86.02"/>
    <n v="0.24770472859169695"/>
    <n v="13.179999999999993"/>
  </r>
  <r>
    <d v="2019-07-01T00:00:00"/>
    <x v="0"/>
    <n v="404.53699999999998"/>
    <m/>
    <n v="91.56"/>
    <m/>
    <n v="8.5"/>
    <n v="100.06"/>
    <n v="0.24734449506472833"/>
    <n v="14.040000000000006"/>
  </r>
  <r>
    <d v="2019-08-01T00:00:00"/>
    <x v="0"/>
    <n v="455.23399999999998"/>
    <m/>
    <n v="102.13"/>
    <m/>
    <n v="8.91"/>
    <n v="111.03999999999999"/>
    <n v="0.24391851223766239"/>
    <n v="10.97999999999999"/>
  </r>
  <r>
    <d v="2019-09-01T00:00:00"/>
    <x v="0"/>
    <n v="503.25059999999996"/>
    <m/>
    <n v="111.45"/>
    <m/>
    <n v="9.36"/>
    <n v="120.81"/>
    <n v="0.24005932630780771"/>
    <n v="9.7700000000000102"/>
  </r>
  <r>
    <d v="2019-10-01T00:00:00"/>
    <x v="0"/>
    <n v="556.61810000000003"/>
    <m/>
    <n v="121.27"/>
    <m/>
    <n v="9.8800000000000008"/>
    <n v="131.15"/>
    <n v="0.23561935912612256"/>
    <n v="10.340000000000003"/>
  </r>
  <r>
    <d v="2019-11-01T00:00:00"/>
    <x v="0"/>
    <n v="615.7718000000001"/>
    <m/>
    <n v="133.16999999999999"/>
    <m/>
    <n v="10.34"/>
    <n v="143.51"/>
    <n v="0.23305711628885892"/>
    <n v="12.359999999999985"/>
  </r>
  <r>
    <d v="2019-12-01T00:00:00"/>
    <x v="0"/>
    <n v="713.11540346674008"/>
    <m/>
    <n v="148.63"/>
    <m/>
    <n v="11.23"/>
    <n v="159.85999999999999"/>
    <n v="0.22417129012058412"/>
    <n v="16.349999999999994"/>
  </r>
  <r>
    <d v="2020-01-01T00:00:00"/>
    <x v="1"/>
    <n v="46.311699999999995"/>
    <m/>
    <n v="15.28"/>
    <m/>
    <n v="0.4"/>
    <n v="15.68"/>
    <n v="0.33857534920981092"/>
    <n v="15.68"/>
  </r>
  <r>
    <d v="2020-02-01T00:00:00"/>
    <x v="1"/>
    <n v="89.3904"/>
    <m/>
    <n v="25.56"/>
    <m/>
    <n v="1.02"/>
    <n v="26.58"/>
    <n v="0.29734736616012458"/>
    <n v="10.899999999999999"/>
  </r>
  <r>
    <d v="2020-03-01T00:00:00"/>
    <x v="1"/>
    <n v="137.47560000000001"/>
    <m/>
    <n v="36.58"/>
    <m/>
    <n v="3.08"/>
    <n v="39.659999999999997"/>
    <n v="0.28848755706467177"/>
    <n v="13.079999999999998"/>
  </r>
  <r>
    <d v="2020-04-01T00:00:00"/>
    <x v="1"/>
    <n v="226.4913"/>
    <m/>
    <n v="48.38"/>
    <m/>
    <n v="7.28"/>
    <n v="55.660000000000004"/>
    <n v="0.24574895371257088"/>
    <n v="16.000000000000007"/>
  </r>
  <r>
    <d v="2020-05-01T00:00:00"/>
    <x v="1"/>
    <n v="264.83240000000001"/>
    <m/>
    <n v="61.96"/>
    <m/>
    <n v="7.81"/>
    <n v="69.77"/>
    <n v="0.26344963833730312"/>
    <n v="14.109999999999992"/>
  </r>
  <r>
    <d v="2020-06-01T00:00:00"/>
    <x v="1"/>
    <n v="312.25290000000001"/>
    <m/>
    <n v="76.319999999999993"/>
    <m/>
    <n v="8.23"/>
    <n v="84.55"/>
    <n v="0.27077410650149286"/>
    <n v="14.780000000000001"/>
  </r>
  <r>
    <d v="2020-07-01T00:00:00"/>
    <x v="1"/>
    <n v="349.89570000000003"/>
    <m/>
    <n v="86.94"/>
    <m/>
    <n v="8.6999999999999993"/>
    <n v="95.64"/>
    <n v="0.2733385977592751"/>
    <n v="11.090000000000003"/>
  </r>
  <r>
    <d v="2020-08-01T00:00:00"/>
    <x v="1"/>
    <n v="386.23690000000005"/>
    <m/>
    <n v="96.77"/>
    <m/>
    <n v="9.1300000000000008"/>
    <n v="105.89999999999999"/>
    <n v="0.27418405646897015"/>
    <n v="10.259999999999991"/>
  </r>
  <r>
    <d v="2020-09-01T00:00:00"/>
    <x v="1"/>
    <n v="418.16300000000001"/>
    <m/>
    <n v="106.51"/>
    <m/>
    <n v="9.5500000000000007"/>
    <n v="116.06"/>
    <n v="0.27754727223594627"/>
    <n v="10.160000000000011"/>
  </r>
  <r>
    <d v="2020-10-01T00:00:00"/>
    <x v="1"/>
    <n v="450.66759999999999"/>
    <m/>
    <n v="115.71"/>
    <m/>
    <n v="10"/>
    <n v="125.71"/>
    <n v="0.2789417300023343"/>
    <n v="9.6499999999999915"/>
  </r>
  <r>
    <d v="2020-11-01T00:00:00"/>
    <x v="1"/>
    <n v="492.56799999999998"/>
    <m/>
    <n v="126.25"/>
    <m/>
    <n v="10.51"/>
    <n v="136.76"/>
    <n v="0.27764694417826574"/>
    <n v="11.049999999999997"/>
  </r>
  <r>
    <d v="2020-12-01T00:00:00"/>
    <x v="1"/>
    <n v="561.00659999999993"/>
    <m/>
    <n v="140.78"/>
    <m/>
    <n v="11.56"/>
    <n v="152.34"/>
    <n v="0.27154760746130263"/>
    <n v="15.580000000000013"/>
  </r>
  <r>
    <d v="2021-01-01T00:00:00"/>
    <x v="2"/>
    <n v="39.017199999999995"/>
    <m/>
    <n v="14.36"/>
    <m/>
    <n v="0.36"/>
    <n v="14.719999999999999"/>
    <n v="0.37726951190756897"/>
    <n v="14.719999999999999"/>
  </r>
  <r>
    <d v="2021-02-01T00:00:00"/>
    <x v="2"/>
    <n v="80.162300000000002"/>
    <m/>
    <n v="24.15"/>
    <m/>
    <n v="0.9"/>
    <n v="25.049999999999997"/>
    <n v="0.31249103381514748"/>
    <n v="10.329999999999998"/>
  </r>
  <r>
    <d v="2021-03-01T00:00:00"/>
    <x v="2"/>
    <n v="120.71589999999999"/>
    <m/>
    <n v="34.54"/>
    <m/>
    <n v="6.15"/>
    <n v="40.69"/>
    <n v="0.33707241548130779"/>
    <n v="15.64"/>
  </r>
  <r>
    <d v="2021-04-01T00:00:00"/>
    <x v="2"/>
    <n v="216.23260000000002"/>
    <m/>
    <n v="46.38"/>
    <m/>
    <n v="7.03"/>
    <n v="53.410000000000004"/>
    <n v="0.24700253338303291"/>
    <n v="12.720000000000006"/>
  </r>
  <r>
    <d v="2021-05-01T00:00:00"/>
    <x v="2"/>
    <n v="257.69810000000001"/>
    <m/>
    <n v="64.650000000000006"/>
    <m/>
    <n v="7.58"/>
    <n v="72.23"/>
    <n v="0.28028922215569302"/>
    <n v="18.82"/>
  </r>
  <r>
    <d v="2021-06-01T00:00:00"/>
    <x v="2"/>
    <n v="303.15899999999999"/>
    <m/>
    <n v="76.260000000000005"/>
    <m/>
    <n v="8.01"/>
    <n v="84.27000000000001"/>
    <n v="0.27797294489030511"/>
    <n v="12.040000000000006"/>
  </r>
  <r>
    <d v="2021-07-01T00:00:00"/>
    <x v="2"/>
    <n v="347.50049999999999"/>
    <m/>
    <n v="87.51"/>
    <m/>
    <n v="8.43"/>
    <n v="95.94"/>
    <n v="0.27608593368930406"/>
    <n v="11.669999999999987"/>
  </r>
  <r>
    <d v="2021-08-01T00:00:00"/>
    <x v="2"/>
    <n v="390.7919"/>
    <m/>
    <n v="98.99"/>
    <m/>
    <n v="8.94"/>
    <n v="107.92999999999999"/>
    <n v="0.27618279703340831"/>
    <n v="11.989999999999995"/>
  </r>
  <r>
    <d v="2021-09-01T00:00:00"/>
    <x v="2"/>
    <n v="443.57759999999996"/>
    <m/>
    <n v="108.92"/>
    <m/>
    <n v="9.52"/>
    <n v="118.44"/>
    <n v="0.2670107778210622"/>
    <n v="10.510000000000005"/>
  </r>
  <r>
    <d v="2021-10-01T00:00:00"/>
    <x v="2"/>
    <n v="490.79409999999996"/>
    <m/>
    <n v="118.82"/>
    <m/>
    <n v="10.28"/>
    <n v="129.1"/>
    <n v="0.26304309689134409"/>
    <n v="10.659999999999997"/>
  </r>
  <r>
    <d v="2021-11-01T00:00:00"/>
    <x v="2"/>
    <n v="554.65609999999992"/>
    <m/>
    <n v="130.52000000000001"/>
    <m/>
    <n v="11.04"/>
    <n v="141.56"/>
    <n v="0.25522120824056566"/>
    <n v="12.460000000000008"/>
  </r>
  <r>
    <d v="2021-12-01T00:00:00"/>
    <x v="2"/>
    <n v="643.83759999999995"/>
    <m/>
    <n v="149.75"/>
    <n v="14.9"/>
    <n v="12.36"/>
    <n v="162.11000000000001"/>
    <n v="0.25178709662188109"/>
    <n v="20.550000000000011"/>
  </r>
  <r>
    <d v="2022-01-01T00:00:00"/>
    <x v="3"/>
    <n v="61.146599999999999"/>
    <m/>
    <n v="18.22"/>
    <n v="18.3"/>
    <n v="0.43"/>
    <n v="18.649999999999999"/>
    <n v="0.30500469363791277"/>
    <n v="18.649999999999999"/>
  </r>
  <r>
    <d v="2022-02-01T00:00:00"/>
    <x v="3"/>
    <n v="110.245"/>
    <m/>
    <n v="28.57"/>
    <n v="10.4"/>
    <n v="0.97"/>
    <n v="29.54"/>
    <n v="0.26794865980316568"/>
    <n v="10.89"/>
  </r>
  <r>
    <d v="2022-03-01T00:00:00"/>
    <x v="3"/>
    <n v="172.4425"/>
    <m/>
    <n v="41.02"/>
    <n v="12.4"/>
    <n v="6.95"/>
    <n v="47.970000000000006"/>
    <n v="0.27817968308276675"/>
    <n v="18.430000000000007"/>
  </r>
  <r>
    <d v="2022-04-01T00:00:00"/>
    <x v="3"/>
    <n v="342.12729999999999"/>
    <m/>
    <n v="58.56"/>
    <n v="18.2"/>
    <n v="7.84"/>
    <n v="66.400000000000006"/>
    <n v="0.19407980596696028"/>
    <n v="18.43"/>
  </r>
  <r>
    <d v="2022-05-01T00:00:00"/>
    <x v="3"/>
    <n v="418.34500000000003"/>
    <m/>
    <n v="79.13"/>
    <n v="20"/>
    <n v="8.23"/>
    <n v="87.36"/>
    <n v="0.20882286151382232"/>
    <n v="20.959999999999994"/>
  </r>
  <r>
    <d v="2022-06-01T00:00:00"/>
    <x v="3"/>
    <n v="524.29390000000001"/>
    <m/>
    <n v="90.87"/>
    <m/>
    <n v="8.82"/>
    <n v="99.69"/>
    <n v="0.19014144547552431"/>
    <n v="12.329999999999998"/>
  </r>
  <r>
    <d v="2022-07-01T00:00:00"/>
    <x v="3"/>
    <n v="595.02009999999996"/>
    <m/>
    <n v="105.57"/>
    <m/>
    <n v="9.4600000000000009"/>
    <n v="115.03"/>
    <n v="0.19332120040986853"/>
    <n v="15.340000000000003"/>
  </r>
  <r>
    <d v="2022-08-01T00:00:00"/>
    <x v="3"/>
    <n v="661.5326"/>
    <m/>
    <n v="120.17"/>
    <m/>
    <n v="9.94"/>
    <n v="130.11000000000001"/>
    <n v="0.19667964964991902"/>
    <n v="15.080000000000013"/>
  </r>
  <r>
    <d v="2022-09-01T00:00:00"/>
    <x v="3"/>
    <n v="723.31349999999998"/>
    <m/>
    <n v="132.19"/>
    <m/>
    <n v="10.34"/>
    <n v="142.53"/>
    <n v="0.19705148597392419"/>
    <n v="12.419999999999987"/>
  </r>
  <r>
    <d v="2022-10-01T00:00:00"/>
    <x v="3"/>
    <n v="784.43130000000008"/>
    <m/>
    <n v="143.87"/>
    <m/>
    <n v="10.77"/>
    <n v="154.64000000000001"/>
    <n v="0.19713644776795622"/>
    <n v="12.110000000000014"/>
  </r>
  <r>
    <d v="2022-11-01T00:00:00"/>
    <x v="3"/>
    <n v="852.10980000000006"/>
    <m/>
    <n v="156.93"/>
    <m/>
    <n v="11.16"/>
    <n v="168.09"/>
    <n v="0.19726331043252876"/>
    <n v="13.449999999999989"/>
  </r>
  <r>
    <d v="2022-12-01T00:00:00"/>
    <x v="3"/>
    <n v="920.37120000000004"/>
    <m/>
    <n v="172.2637569"/>
    <n v="15.2"/>
    <n v="11.702755440000001"/>
    <n v="183.96651234000001"/>
    <n v="0.19988295194373748"/>
    <n v="15.876512340000005"/>
  </r>
  <r>
    <d v="2023-01-01T00:00:00"/>
    <x v="4"/>
    <n v="78.285300000000007"/>
    <m/>
    <n v="22.29"/>
    <n v="22.3"/>
    <n v="0.39"/>
    <n v="22.68"/>
    <n v="0.28970956233162543"/>
    <n v="22.68"/>
  </r>
  <r>
    <d v="2023-02-01T00:00:00"/>
    <x v="4"/>
    <n v="137.09029999999998"/>
    <m/>
    <n v="34.700000000000003"/>
    <n v="12.4"/>
    <n v="1.19"/>
    <n v="35.89"/>
    <n v="0.26179824539008234"/>
    <n v="13.21"/>
  </r>
  <r>
    <d v="2023-03-01T00:00:00"/>
    <x v="4"/>
    <n v="225.9487"/>
    <m/>
    <n v="49.92"/>
    <n v="15.2"/>
    <n v="7.87"/>
    <n v="57.79"/>
    <n v="0.25576602122517189"/>
    <n v="21.9"/>
  </r>
  <r>
    <d v="2023-04-01T00:00:00"/>
    <x v="4"/>
    <n v="410.9212"/>
    <m/>
    <n v="69.290000000000006"/>
    <n v="19.399999999999999"/>
    <n v="8.36"/>
    <n v="77.650000000000006"/>
    <n v="0.18896567030369815"/>
    <n v="19.860000000000007"/>
  </r>
  <r>
    <d v="2023-05-01T00:00:00"/>
    <x v="4"/>
    <n v="486.9393"/>
    <m/>
    <n v="92.33"/>
    <n v="23.1"/>
    <n v="8.8000000000000007"/>
    <n v="101.13"/>
    <n v="0.20768502357480695"/>
    <n v="23.47999999999999"/>
  </r>
  <r>
    <d v="2023-06-01T00:00:00"/>
    <x v="4"/>
    <n v="565.00559999999996"/>
    <m/>
    <n v="107.67"/>
    <m/>
    <n v="9.25"/>
    <n v="116.92"/>
    <n v="0.20693600205024518"/>
    <n v="15.790000000000006"/>
  </r>
  <r>
    <d v="2023-07-01T00:00:00"/>
    <x v="4"/>
    <n v="636.5553000000001"/>
    <m/>
    <n v="124.67"/>
    <m/>
    <n v="9.6999999999999993"/>
    <n v="134.37"/>
    <n v="0.21108928006726199"/>
    <n v="17.450000000000003"/>
  </r>
  <r>
    <d v="2023-08-01T00:00:00"/>
    <x v="4"/>
    <n v="708.2269"/>
    <m/>
    <n v="141.09"/>
    <m/>
    <n v="10.16"/>
    <n v="151.25"/>
    <n v="0.21356150126463708"/>
    <n v="16.879999999999995"/>
  </r>
  <r>
    <d v="2023-09-01T00:00:00"/>
    <x v="4"/>
    <n v="771.74669999999992"/>
    <m/>
    <n v="154.9"/>
    <m/>
    <n v="10.62"/>
    <n v="165.52"/>
    <n v="0.21447451605559184"/>
    <n v="14.27000000000001"/>
  </r>
  <r>
    <d v="2023-10-01T00:00:00"/>
    <x v="4"/>
    <n v="836.79250000000002"/>
    <m/>
    <n v="168.08"/>
    <m/>
    <n v="11.08"/>
    <n v="179.16000000000003"/>
    <n v="0.21410325737862138"/>
    <n v="13.640000000000015"/>
  </r>
  <r>
    <d v="2023-11-01T00:00:00"/>
    <x v="4"/>
    <n v="904.10649999999998"/>
    <m/>
    <n v="183.29"/>
    <m/>
    <n v="11.61"/>
    <n v="194.89999999999998"/>
    <n v="0.21557194865870336"/>
    <n v="15.739999999999952"/>
  </r>
  <r>
    <d v="2023-12-01T00:00:00"/>
    <x v="4"/>
    <n v="993.03179999999998"/>
    <m/>
    <n v="201.1861767"/>
    <n v="17.7"/>
    <n v="12.62398211"/>
    <n v="213.81015881000002"/>
    <n v="0.21531048533390373"/>
    <n v="18.910158810000041"/>
  </r>
  <r>
    <d v="2024-01-01T00:00:00"/>
    <x v="5"/>
    <n v="83.690300000000008"/>
    <m/>
    <n v="28.3"/>
    <n v="28.4"/>
    <n v="0.5"/>
    <n v="28.8"/>
    <n v="0.34412590228497208"/>
    <n v="28.8"/>
  </r>
  <r>
    <d v="2024-02-01T00:00:00"/>
    <x v="5"/>
    <n v="147.25720000000001"/>
    <m/>
    <n v="43.3"/>
    <n v="15.1"/>
    <n v="1.48"/>
    <n v="44.779999999999994"/>
    <n v="0.30409378964152511"/>
    <n v="15.979999999999993"/>
  </r>
  <r>
    <d v="2024-03-01T00:00:00"/>
    <x v="5"/>
    <n v="220.42439999999999"/>
    <m/>
    <n v="62.86"/>
    <n v="20.8"/>
    <n v="8.59"/>
    <n v="71.45"/>
    <n v="0.32414741743654518"/>
    <n v="26.670000000000009"/>
  </r>
  <r>
    <d v="2024-04-01T00:00:00"/>
    <x v="5"/>
    <n v="377.00299999999999"/>
    <m/>
    <n v="97.97"/>
    <n v="33.700000000000003"/>
    <n v="9.23"/>
    <n v="107.2"/>
    <n v="0.28434786991084954"/>
    <n v="35.75"/>
  </r>
  <r>
    <d v="2024-05-01T00:00:00"/>
    <x v="5"/>
    <n v="443.7176"/>
    <m/>
    <n v="119.07"/>
    <n v="21.1"/>
    <n v="9.7850000000000001"/>
    <n v="128.85499999999999"/>
    <n v="0.29039866798161712"/>
    <n v="21.654999999999987"/>
  </r>
  <r>
    <d v="2024-06-01T00:00:00"/>
    <x v="5"/>
    <n v="519.57783823099999"/>
    <m/>
    <n v="138.4006"/>
    <m/>
    <n v="10.34"/>
    <n v="148.7406"/>
    <n v="0.28627202520110406"/>
    <n v="19.885600000000011"/>
  </r>
  <r>
    <d v="2024-07-01T00:00:00"/>
    <x v="5"/>
    <n v="593.76220000000001"/>
    <m/>
    <n v="157.82"/>
    <m/>
    <n v="10.88"/>
    <n v="168.7"/>
    <n v="0.28412047786133909"/>
    <n v="19.959399999999988"/>
  </r>
  <r>
    <d v="2024-08-01T00:00:00"/>
    <x v="5"/>
    <n v="665.51930000000004"/>
    <m/>
    <n v="176.14"/>
    <m/>
    <n v="11.44"/>
    <n v="187.57999999999998"/>
    <n v="0.28185508669695974"/>
    <n v="18.879999999999995"/>
  </r>
  <r>
    <d v="2024-09-01T00:00:00"/>
    <x v="5"/>
    <n v="736.76189999999997"/>
    <m/>
    <n v="191.68"/>
    <m/>
    <n v="12.03"/>
    <n v="203.71"/>
    <n v="0.27649366776430762"/>
    <n v="16.130000000000024"/>
  </r>
  <r>
    <d v="2024-10-01T00:00:00"/>
    <x v="5"/>
    <n v="810.75993627299999"/>
    <m/>
    <n v="206.99"/>
    <m/>
    <n v="12.68"/>
    <n v="219.67000000000002"/>
    <n v="0.27094333374414853"/>
    <n v="15.960000000000008"/>
  </r>
  <r>
    <d v="2024-11-01T00:00:00"/>
    <x v="5"/>
    <n v="885.68509193299997"/>
    <m/>
    <n v="223.42"/>
    <m/>
    <n v="13.38"/>
    <n v="236.79999999999998"/>
    <n v="0.26736365120833866"/>
    <n v="17.129999999999967"/>
  </r>
  <r>
    <d v="2024-12-01T00:00:00"/>
    <x v="5"/>
    <n v="996.83420000000001"/>
    <m/>
    <n v="243.8"/>
    <n v="20.2"/>
    <n v="13.38"/>
    <n v="257.18"/>
    <n v="0.25799676616231665"/>
    <n v="20.380000000000024"/>
  </r>
  <r>
    <d v="2025-01-01T00:00:00"/>
    <x v="6"/>
    <n v="57.780452609529995"/>
    <n v="21.9"/>
    <n v="16.2"/>
    <n v="16.2"/>
    <n v="0.46"/>
    <n v="16.66"/>
    <n v="0.28833280543136813"/>
    <n v="16.66"/>
  </r>
  <r>
    <d v="2025-02-01T00:00:00"/>
    <x v="6"/>
    <n v="99.881500000000003"/>
    <n v="46"/>
    <n v="31"/>
    <n v="14.8"/>
    <m/>
    <n v="31"/>
    <n v="0.31036778582620406"/>
    <n v="14.34"/>
  </r>
  <r>
    <d v="2025-03-01T00:00:00"/>
    <x v="6"/>
    <n v="154.06200048223002"/>
    <n v="70.599999999999994"/>
    <n v="50"/>
    <n v="19.100000000000001"/>
    <m/>
    <n v="50"/>
    <n v="0.32454466282077876"/>
    <n v="19"/>
  </r>
  <r>
    <d v="2025-04-01T00:00:00"/>
    <x v="6"/>
    <n v="280.987262676"/>
    <n v="168.3"/>
    <n v="85.2"/>
    <n v="34.799999999999997"/>
    <m/>
    <n v="84.8"/>
    <n v="0.30179303927303258"/>
    <n v="34.799999999999997"/>
  </r>
  <r>
    <d v="2025-05-01T00:00:00"/>
    <x v="6"/>
    <n v="318.48219781699999"/>
    <n v="194.36"/>
    <n v="120.3"/>
    <n v="19"/>
    <m/>
    <n v="103.8"/>
    <n v="0.32592088572449351"/>
    <n v="19"/>
  </r>
  <r>
    <d v="2025-06-01T00:00:00"/>
    <x v="6"/>
    <n v="477.735717218199"/>
    <m/>
    <m/>
    <m/>
    <m/>
    <n v="115.25876322153394"/>
    <n v="0.24126051092154607"/>
    <n v="11.458763221533943"/>
  </r>
  <r>
    <d v="2025-07-01T00:00:00"/>
    <x v="6"/>
    <n v="552.62754705000009"/>
    <m/>
    <m/>
    <m/>
    <m/>
    <n v="131.84921010371278"/>
    <n v="0.23858602562890963"/>
    <n v="16.590446882178838"/>
  </r>
  <r>
    <d v="2025-08-01T00:00:00"/>
    <x v="6"/>
    <n v="625.90950629199995"/>
    <n v="194.2"/>
    <n v="180.3"/>
    <n v="19.399999999999999"/>
    <n v="15.91"/>
    <n v="151.16"/>
    <n v="0.24150456013282004"/>
    <n v="19.310789896287218"/>
  </r>
  <r>
    <d v="2025-09-01T00:00:00"/>
    <x v="6"/>
    <n v="680.47626041900003"/>
    <n v="215.1"/>
    <m/>
    <m/>
    <n v="16.82"/>
    <n v="165.82590431450387"/>
    <n v="0.24369094700290847"/>
    <n v="14.665904314503877"/>
  </r>
  <r>
    <d v="2025-10-01T00:00:00"/>
    <x v="6"/>
    <n v="831.27109576800001"/>
    <n v="237.56"/>
    <m/>
    <m/>
    <m/>
    <n v="191.66"/>
    <n v="0.23056256975100034"/>
    <n v="25.834095685496123"/>
  </r>
  <r>
    <d v="2025-11-01T00:00:00"/>
    <x v="6"/>
    <n v="877.20246119900003"/>
    <n v="263.58"/>
    <m/>
    <m/>
    <m/>
    <n v="218.31"/>
    <n v="0.24887071076112122"/>
    <n v="26.650000000000006"/>
  </r>
  <r>
    <d v="2025-12-01T00:00:00"/>
    <x v="6"/>
    <n v="986.33140000000003"/>
    <n v="321.39999999999998"/>
    <m/>
    <m/>
    <m/>
    <n v="248.2"/>
    <n v="0.25163956049660385"/>
    <n v="29.889999999999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31F67-FDA4-4D87-A239-4EF300B187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74:N82" firstHeaderRow="1" firstDataRow="1" firstDataCol="1"/>
  <pivotFields count="10">
    <pivotField numFmtId="16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43" showAll="0"/>
    <pivotField showAll="0"/>
    <pivotField showAll="0"/>
    <pivotField showAll="0"/>
    <pivotField showAll="0"/>
    <pivotField numFmtId="43" showAll="0"/>
    <pivotField showAll="0"/>
    <pivotField dataField="1" numFmtId="43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IT_flow" fld="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CCE4-FFF0-4D95-BE6A-CAD59EDD3BC1}">
  <dimension ref="A1:B1693"/>
  <sheetViews>
    <sheetView tabSelected="1" workbookViewId="0">
      <pane xSplit="1" ySplit="1" topLeftCell="B1675" activePane="bottomRight" state="frozen"/>
      <selection pane="topRight" activeCell="B1" sqref="B1"/>
      <selection pane="bottomLeft" activeCell="A2" sqref="A2"/>
      <selection pane="bottomRight" activeCell="C1679" sqref="C1679"/>
    </sheetView>
  </sheetViews>
  <sheetFormatPr defaultRowHeight="14.75" x14ac:dyDescent="0.75"/>
  <cols>
    <col min="1" max="1" width="9.953125" bestFit="1" customWidth="1"/>
  </cols>
  <sheetData>
    <row r="1" spans="1:2" x14ac:dyDescent="0.75">
      <c r="A1" t="s">
        <v>9</v>
      </c>
      <c r="B1" t="s">
        <v>122</v>
      </c>
    </row>
    <row r="2" spans="1:2" x14ac:dyDescent="0.75">
      <c r="A2" s="51">
        <v>43467</v>
      </c>
      <c r="B2" s="2">
        <v>6181.1750000000002</v>
      </c>
    </row>
    <row r="3" spans="1:2" x14ac:dyDescent="0.75">
      <c r="A3" s="51">
        <v>43468</v>
      </c>
      <c r="B3" s="2">
        <v>6221.01</v>
      </c>
    </row>
    <row r="4" spans="1:2" x14ac:dyDescent="0.75">
      <c r="A4" s="51">
        <v>43469</v>
      </c>
      <c r="B4" s="2">
        <v>6274.54</v>
      </c>
    </row>
    <row r="5" spans="1:2" x14ac:dyDescent="0.75">
      <c r="A5" s="51">
        <v>43472</v>
      </c>
      <c r="B5" s="2">
        <v>6287.2240000000002</v>
      </c>
    </row>
    <row r="6" spans="1:2" x14ac:dyDescent="0.75">
      <c r="A6" s="51">
        <v>43473</v>
      </c>
      <c r="B6" s="2">
        <v>6262.8469999999998</v>
      </c>
    </row>
    <row r="7" spans="1:2" x14ac:dyDescent="0.75">
      <c r="A7" s="51">
        <v>43474</v>
      </c>
      <c r="B7" s="2">
        <v>6272.2380000000003</v>
      </c>
    </row>
    <row r="8" spans="1:2" x14ac:dyDescent="0.75">
      <c r="A8" s="51">
        <v>43475</v>
      </c>
      <c r="B8" s="2">
        <v>6328.7139999999999</v>
      </c>
    </row>
    <row r="9" spans="1:2" x14ac:dyDescent="0.75">
      <c r="A9" s="51">
        <v>43476</v>
      </c>
      <c r="B9" s="2">
        <v>6361.4650000000001</v>
      </c>
    </row>
    <row r="10" spans="1:2" x14ac:dyDescent="0.75">
      <c r="A10" s="51">
        <v>43479</v>
      </c>
      <c r="B10" s="2">
        <v>6336.116</v>
      </c>
    </row>
    <row r="11" spans="1:2" x14ac:dyDescent="0.75">
      <c r="A11" s="51">
        <v>43480</v>
      </c>
      <c r="B11" s="2">
        <v>6408.7839999999997</v>
      </c>
    </row>
    <row r="12" spans="1:2" x14ac:dyDescent="0.75">
      <c r="A12" s="51">
        <v>43481</v>
      </c>
      <c r="B12" s="2">
        <v>6413.36</v>
      </c>
    </row>
    <row r="13" spans="1:2" x14ac:dyDescent="0.75">
      <c r="A13" s="51">
        <v>43482</v>
      </c>
      <c r="B13" s="2">
        <v>6423.78</v>
      </c>
    </row>
    <row r="14" spans="1:2" x14ac:dyDescent="0.75">
      <c r="A14" s="51">
        <v>43483</v>
      </c>
      <c r="B14" s="2">
        <v>6448.1559999999999</v>
      </c>
    </row>
    <row r="15" spans="1:2" x14ac:dyDescent="0.75">
      <c r="A15" s="51">
        <v>43486</v>
      </c>
      <c r="B15" s="2">
        <v>6450.8339999999998</v>
      </c>
    </row>
    <row r="16" spans="1:2" x14ac:dyDescent="0.75">
      <c r="A16" s="51">
        <v>43487</v>
      </c>
      <c r="B16" s="2">
        <v>6468.5619999999999</v>
      </c>
    </row>
    <row r="17" spans="1:2" x14ac:dyDescent="0.75">
      <c r="A17" s="51">
        <v>43488</v>
      </c>
      <c r="B17" s="2">
        <v>6451.17</v>
      </c>
    </row>
    <row r="18" spans="1:2" x14ac:dyDescent="0.75">
      <c r="A18" s="51">
        <v>43489</v>
      </c>
      <c r="B18" s="2">
        <v>6466.6549999999997</v>
      </c>
    </row>
    <row r="19" spans="1:2" x14ac:dyDescent="0.75">
      <c r="A19" s="51">
        <v>43490</v>
      </c>
      <c r="B19" s="2">
        <v>6482.8429999999998</v>
      </c>
    </row>
    <row r="20" spans="1:2" x14ac:dyDescent="0.75">
      <c r="A20" s="51">
        <v>43493</v>
      </c>
      <c r="B20" s="2">
        <v>6458.7120000000004</v>
      </c>
    </row>
    <row r="21" spans="1:2" x14ac:dyDescent="0.75">
      <c r="A21" s="51">
        <v>43494</v>
      </c>
      <c r="B21" s="2">
        <v>6436.48</v>
      </c>
    </row>
    <row r="22" spans="1:2" x14ac:dyDescent="0.75">
      <c r="A22" s="51">
        <v>43495</v>
      </c>
      <c r="B22" s="2">
        <v>6464.1890000000003</v>
      </c>
    </row>
    <row r="23" spans="1:2" x14ac:dyDescent="0.75">
      <c r="A23" s="51">
        <v>43496</v>
      </c>
      <c r="B23" s="2">
        <v>6532.9690000000001</v>
      </c>
    </row>
    <row r="24" spans="1:2" x14ac:dyDescent="0.75">
      <c r="A24" s="51">
        <v>43497</v>
      </c>
      <c r="B24" s="2">
        <v>6538.6379999999999</v>
      </c>
    </row>
    <row r="25" spans="1:2" x14ac:dyDescent="0.75">
      <c r="A25" s="51">
        <v>43500</v>
      </c>
      <c r="B25" s="2">
        <v>6481.451</v>
      </c>
    </row>
    <row r="26" spans="1:2" x14ac:dyDescent="0.75">
      <c r="A26" s="51">
        <v>43502</v>
      </c>
      <c r="B26" s="2">
        <v>6547.8770000000004</v>
      </c>
    </row>
    <row r="27" spans="1:2" x14ac:dyDescent="0.75">
      <c r="A27" s="51">
        <v>43503</v>
      </c>
      <c r="B27" s="2">
        <v>6536.4570000000003</v>
      </c>
    </row>
    <row r="28" spans="1:2" x14ac:dyDescent="0.75">
      <c r="A28" s="51">
        <v>43504</v>
      </c>
      <c r="B28" s="2">
        <v>6521.6629999999996</v>
      </c>
    </row>
    <row r="29" spans="1:2" x14ac:dyDescent="0.75">
      <c r="A29" s="51">
        <v>43507</v>
      </c>
      <c r="B29" s="2">
        <v>6495.0020000000004</v>
      </c>
    </row>
    <row r="30" spans="1:2" x14ac:dyDescent="0.75">
      <c r="A30" s="51">
        <v>43508</v>
      </c>
      <c r="B30" s="2">
        <v>6426.3249999999998</v>
      </c>
    </row>
    <row r="31" spans="1:2" x14ac:dyDescent="0.75">
      <c r="A31" s="51">
        <v>43509</v>
      </c>
      <c r="B31" s="2">
        <v>6419.116</v>
      </c>
    </row>
    <row r="32" spans="1:2" x14ac:dyDescent="0.75">
      <c r="A32" s="51">
        <v>43510</v>
      </c>
      <c r="B32" s="2">
        <v>6420.018</v>
      </c>
    </row>
    <row r="33" spans="1:2" x14ac:dyDescent="0.75">
      <c r="A33" s="51">
        <v>43511</v>
      </c>
      <c r="B33" s="2">
        <v>6389.085</v>
      </c>
    </row>
    <row r="34" spans="1:2" x14ac:dyDescent="0.75">
      <c r="A34" s="51">
        <v>43514</v>
      </c>
      <c r="B34" s="2">
        <v>6497.8149999999996</v>
      </c>
    </row>
    <row r="35" spans="1:2" x14ac:dyDescent="0.75">
      <c r="A35" s="51">
        <v>43515</v>
      </c>
      <c r="B35" s="2">
        <v>6494.6670000000004</v>
      </c>
    </row>
    <row r="36" spans="1:2" x14ac:dyDescent="0.75">
      <c r="A36" s="51">
        <v>43516</v>
      </c>
      <c r="B36" s="2">
        <v>6512.7839999999997</v>
      </c>
    </row>
    <row r="37" spans="1:2" x14ac:dyDescent="0.75">
      <c r="A37" s="51">
        <v>43517</v>
      </c>
      <c r="B37" s="2">
        <v>6537.7659999999996</v>
      </c>
    </row>
    <row r="38" spans="1:2" x14ac:dyDescent="0.75">
      <c r="A38" s="51">
        <v>43518</v>
      </c>
      <c r="B38" s="2">
        <v>6501.3779999999997</v>
      </c>
    </row>
    <row r="39" spans="1:2" x14ac:dyDescent="0.75">
      <c r="A39" s="51">
        <v>43521</v>
      </c>
      <c r="B39" s="2">
        <v>6525.3580000000002</v>
      </c>
    </row>
    <row r="40" spans="1:2" x14ac:dyDescent="0.75">
      <c r="A40" s="51">
        <v>43522</v>
      </c>
      <c r="B40" s="2">
        <v>6540.95</v>
      </c>
    </row>
    <row r="41" spans="1:2" x14ac:dyDescent="0.75">
      <c r="A41" s="51">
        <v>43523</v>
      </c>
      <c r="B41" s="2">
        <v>6525.683</v>
      </c>
    </row>
    <row r="42" spans="1:2" x14ac:dyDescent="0.75">
      <c r="A42" s="51">
        <v>43524</v>
      </c>
      <c r="B42" s="2">
        <v>6443.348</v>
      </c>
    </row>
    <row r="43" spans="1:2" x14ac:dyDescent="0.75">
      <c r="A43" s="51">
        <v>43525</v>
      </c>
      <c r="B43" s="2">
        <v>6499.884</v>
      </c>
    </row>
    <row r="44" spans="1:2" x14ac:dyDescent="0.75">
      <c r="A44" s="51">
        <v>43528</v>
      </c>
      <c r="B44" s="2">
        <v>6488.42</v>
      </c>
    </row>
    <row r="45" spans="1:2" x14ac:dyDescent="0.75">
      <c r="A45" s="51">
        <v>43529</v>
      </c>
      <c r="B45" s="2">
        <v>6441.28</v>
      </c>
    </row>
    <row r="46" spans="1:2" x14ac:dyDescent="0.75">
      <c r="A46" s="51">
        <v>43530</v>
      </c>
      <c r="B46" s="2">
        <v>6457.9560000000001</v>
      </c>
    </row>
    <row r="47" spans="1:2" x14ac:dyDescent="0.75">
      <c r="A47" s="51">
        <v>43532</v>
      </c>
      <c r="B47" s="2">
        <v>6383.0680000000002</v>
      </c>
    </row>
    <row r="48" spans="1:2" x14ac:dyDescent="0.75">
      <c r="A48" s="51">
        <v>43535</v>
      </c>
      <c r="B48" s="2">
        <v>6366.4340000000002</v>
      </c>
    </row>
    <row r="49" spans="1:2" x14ac:dyDescent="0.75">
      <c r="A49" s="51">
        <v>43536</v>
      </c>
      <c r="B49" s="2">
        <v>6353.7740000000003</v>
      </c>
    </row>
    <row r="50" spans="1:2" x14ac:dyDescent="0.75">
      <c r="A50" s="51">
        <v>43537</v>
      </c>
      <c r="B50" s="2">
        <v>6377.5749999999998</v>
      </c>
    </row>
    <row r="51" spans="1:2" x14ac:dyDescent="0.75">
      <c r="A51" s="51">
        <v>43538</v>
      </c>
      <c r="B51" s="2">
        <v>6413.2659999999996</v>
      </c>
    </row>
    <row r="52" spans="1:2" x14ac:dyDescent="0.75">
      <c r="A52" s="51">
        <v>43539</v>
      </c>
      <c r="B52" s="2">
        <v>6461.183</v>
      </c>
    </row>
    <row r="53" spans="1:2" x14ac:dyDescent="0.75">
      <c r="A53" s="51">
        <v>43542</v>
      </c>
      <c r="B53" s="2">
        <v>6509.4470000000001</v>
      </c>
    </row>
    <row r="54" spans="1:2" x14ac:dyDescent="0.75">
      <c r="A54" s="51">
        <v>43543</v>
      </c>
      <c r="B54" s="2">
        <v>6480.2759999999998</v>
      </c>
    </row>
    <row r="55" spans="1:2" x14ac:dyDescent="0.75">
      <c r="A55" s="51">
        <v>43544</v>
      </c>
      <c r="B55" s="2">
        <v>6482.71</v>
      </c>
    </row>
    <row r="56" spans="1:2" x14ac:dyDescent="0.75">
      <c r="A56" s="51">
        <v>43545</v>
      </c>
      <c r="B56" s="2">
        <v>6501.7759999999998</v>
      </c>
    </row>
    <row r="57" spans="1:2" x14ac:dyDescent="0.75">
      <c r="A57" s="51">
        <v>43546</v>
      </c>
      <c r="B57" s="2">
        <v>6525.2740000000003</v>
      </c>
    </row>
    <row r="58" spans="1:2" x14ac:dyDescent="0.75">
      <c r="A58" s="51">
        <v>43549</v>
      </c>
      <c r="B58" s="2">
        <v>6411.2510000000002</v>
      </c>
    </row>
    <row r="59" spans="1:2" x14ac:dyDescent="0.75">
      <c r="A59" s="51">
        <v>43550</v>
      </c>
      <c r="B59" s="2">
        <v>6469.9989999999998</v>
      </c>
    </row>
    <row r="60" spans="1:2" x14ac:dyDescent="0.75">
      <c r="A60" s="51">
        <v>43551</v>
      </c>
      <c r="B60" s="2">
        <v>6444.7380000000003</v>
      </c>
    </row>
    <row r="61" spans="1:2" x14ac:dyDescent="0.75">
      <c r="A61" s="51">
        <v>43552</v>
      </c>
      <c r="B61" s="2">
        <v>6480.7879999999996</v>
      </c>
    </row>
    <row r="62" spans="1:2" x14ac:dyDescent="0.75">
      <c r="A62" s="51">
        <v>43553</v>
      </c>
      <c r="B62" s="2">
        <v>6468.7550000000001</v>
      </c>
    </row>
    <row r="63" spans="1:2" x14ac:dyDescent="0.75">
      <c r="A63" s="51">
        <v>43556</v>
      </c>
      <c r="B63" s="2">
        <v>6452.6109999999999</v>
      </c>
    </row>
    <row r="64" spans="1:2" x14ac:dyDescent="0.75">
      <c r="A64" s="51">
        <v>43557</v>
      </c>
      <c r="B64" s="2">
        <v>6476.0659999999998</v>
      </c>
    </row>
    <row r="65" spans="1:2" x14ac:dyDescent="0.75">
      <c r="A65" s="51">
        <v>43559</v>
      </c>
      <c r="B65" s="2">
        <v>6494.63</v>
      </c>
    </row>
    <row r="66" spans="1:2" x14ac:dyDescent="0.75">
      <c r="A66" s="51">
        <v>43560</v>
      </c>
      <c r="B66" s="2">
        <v>6474.018</v>
      </c>
    </row>
    <row r="67" spans="1:2" x14ac:dyDescent="0.75">
      <c r="A67" s="51">
        <v>43563</v>
      </c>
      <c r="B67" s="2">
        <v>6425.7340000000004</v>
      </c>
    </row>
    <row r="68" spans="1:2" x14ac:dyDescent="0.75">
      <c r="A68" s="51">
        <v>43564</v>
      </c>
      <c r="B68" s="2">
        <v>6484.348</v>
      </c>
    </row>
    <row r="69" spans="1:2" x14ac:dyDescent="0.75">
      <c r="A69" s="51">
        <v>43565</v>
      </c>
      <c r="B69" s="2">
        <v>6478.326</v>
      </c>
    </row>
    <row r="70" spans="1:2" x14ac:dyDescent="0.75">
      <c r="A70" s="51">
        <v>43566</v>
      </c>
      <c r="B70" s="2">
        <v>6410.1660000000002</v>
      </c>
    </row>
    <row r="71" spans="1:2" x14ac:dyDescent="0.75">
      <c r="A71" s="51">
        <v>43567</v>
      </c>
      <c r="B71" s="2">
        <v>6405.866</v>
      </c>
    </row>
    <row r="72" spans="1:2" x14ac:dyDescent="0.75">
      <c r="A72" s="51">
        <v>43570</v>
      </c>
      <c r="B72" s="2">
        <v>6435.1509999999998</v>
      </c>
    </row>
    <row r="73" spans="1:2" x14ac:dyDescent="0.75">
      <c r="A73" s="51">
        <v>43571</v>
      </c>
      <c r="B73" s="2">
        <v>6481.5410000000002</v>
      </c>
    </row>
    <row r="74" spans="1:2" x14ac:dyDescent="0.75">
      <c r="A74" s="51">
        <v>43573</v>
      </c>
      <c r="B74" s="2">
        <v>6507.2209999999995</v>
      </c>
    </row>
    <row r="75" spans="1:2" x14ac:dyDescent="0.75">
      <c r="A75" s="51">
        <v>43577</v>
      </c>
      <c r="B75" s="2">
        <v>6414.7430000000004</v>
      </c>
    </row>
    <row r="76" spans="1:2" x14ac:dyDescent="0.75">
      <c r="A76" s="51">
        <v>43578</v>
      </c>
      <c r="B76" s="2">
        <v>6462.8220000000001</v>
      </c>
    </row>
    <row r="77" spans="1:2" x14ac:dyDescent="0.75">
      <c r="A77" s="51">
        <v>43579</v>
      </c>
      <c r="B77" s="2">
        <v>6447.8850000000002</v>
      </c>
    </row>
    <row r="78" spans="1:2" x14ac:dyDescent="0.75">
      <c r="A78" s="51">
        <v>43580</v>
      </c>
      <c r="B78" s="2">
        <v>6372.7870000000003</v>
      </c>
    </row>
    <row r="79" spans="1:2" x14ac:dyDescent="0.75">
      <c r="A79" s="51">
        <v>43581</v>
      </c>
      <c r="B79" s="2">
        <v>6401.08</v>
      </c>
    </row>
    <row r="80" spans="1:2" x14ac:dyDescent="0.75">
      <c r="A80" s="51">
        <v>43584</v>
      </c>
      <c r="B80" s="2">
        <v>6425.8950000000004</v>
      </c>
    </row>
    <row r="81" spans="1:2" x14ac:dyDescent="0.75">
      <c r="A81" s="51">
        <v>43585</v>
      </c>
      <c r="B81" s="2">
        <v>6455.3519999999999</v>
      </c>
    </row>
    <row r="82" spans="1:2" x14ac:dyDescent="0.75">
      <c r="A82" s="51">
        <v>43587</v>
      </c>
      <c r="B82" s="2">
        <v>6374.4219999999996</v>
      </c>
    </row>
    <row r="83" spans="1:2" x14ac:dyDescent="0.75">
      <c r="A83" s="51">
        <v>43588</v>
      </c>
      <c r="B83" s="2">
        <v>6319.4589999999998</v>
      </c>
    </row>
    <row r="84" spans="1:2" x14ac:dyDescent="0.75">
      <c r="A84" s="51">
        <v>43591</v>
      </c>
      <c r="B84" s="2">
        <v>6256.3519999999999</v>
      </c>
    </row>
    <row r="85" spans="1:2" x14ac:dyDescent="0.75">
      <c r="A85" s="51">
        <v>43592</v>
      </c>
      <c r="B85" s="2">
        <v>6297.3180000000002</v>
      </c>
    </row>
    <row r="86" spans="1:2" x14ac:dyDescent="0.75">
      <c r="A86" s="51">
        <v>43593</v>
      </c>
      <c r="B86" s="2">
        <v>6270.2020000000002</v>
      </c>
    </row>
    <row r="87" spans="1:2" x14ac:dyDescent="0.75">
      <c r="A87" s="51">
        <v>43594</v>
      </c>
      <c r="B87" s="2">
        <v>6198.8040000000001</v>
      </c>
    </row>
    <row r="88" spans="1:2" x14ac:dyDescent="0.75">
      <c r="A88" s="51">
        <v>43595</v>
      </c>
      <c r="B88" s="2">
        <v>6209.1180000000004</v>
      </c>
    </row>
    <row r="89" spans="1:2" x14ac:dyDescent="0.75">
      <c r="A89" s="51">
        <v>43598</v>
      </c>
      <c r="B89" s="2">
        <v>6135.3959999999997</v>
      </c>
    </row>
    <row r="90" spans="1:2" x14ac:dyDescent="0.75">
      <c r="A90" s="51">
        <v>43599</v>
      </c>
      <c r="B90" s="2">
        <v>6071.2020000000002</v>
      </c>
    </row>
    <row r="91" spans="1:2" x14ac:dyDescent="0.75">
      <c r="A91" s="51">
        <v>43600</v>
      </c>
      <c r="B91" s="2">
        <v>5980.8850000000002</v>
      </c>
    </row>
    <row r="92" spans="1:2" x14ac:dyDescent="0.75">
      <c r="A92" s="51">
        <v>43601</v>
      </c>
      <c r="B92" s="2">
        <v>5895.7380000000003</v>
      </c>
    </row>
    <row r="93" spans="1:2" x14ac:dyDescent="0.75">
      <c r="A93" s="51">
        <v>43602</v>
      </c>
      <c r="B93" s="2">
        <v>5826.8680000000004</v>
      </c>
    </row>
    <row r="94" spans="1:2" x14ac:dyDescent="0.75">
      <c r="A94" s="51">
        <v>43605</v>
      </c>
      <c r="B94" s="2">
        <v>5907.1210000000001</v>
      </c>
    </row>
    <row r="95" spans="1:2" x14ac:dyDescent="0.75">
      <c r="A95" s="51">
        <v>43606</v>
      </c>
      <c r="B95" s="2">
        <v>5951.3720000000003</v>
      </c>
    </row>
    <row r="96" spans="1:2" x14ac:dyDescent="0.75">
      <c r="A96" s="51">
        <v>43607</v>
      </c>
      <c r="B96" s="2">
        <v>5939.6360000000004</v>
      </c>
    </row>
    <row r="97" spans="1:2" x14ac:dyDescent="0.75">
      <c r="A97" s="51">
        <v>43608</v>
      </c>
      <c r="B97" s="2">
        <v>6032.6959999999999</v>
      </c>
    </row>
    <row r="98" spans="1:2" x14ac:dyDescent="0.75">
      <c r="A98" s="51">
        <v>43609</v>
      </c>
      <c r="B98" s="2">
        <v>6057.3530000000001</v>
      </c>
    </row>
    <row r="99" spans="1:2" x14ac:dyDescent="0.75">
      <c r="A99" s="51">
        <v>43612</v>
      </c>
      <c r="B99" s="2">
        <v>6098.9740000000002</v>
      </c>
    </row>
    <row r="100" spans="1:2" x14ac:dyDescent="0.75">
      <c r="A100" s="51">
        <v>43613</v>
      </c>
      <c r="B100" s="2">
        <v>6033.1419999999998</v>
      </c>
    </row>
    <row r="101" spans="1:2" x14ac:dyDescent="0.75">
      <c r="A101" s="51">
        <v>43614</v>
      </c>
      <c r="B101" s="2">
        <v>6104.1059999999998</v>
      </c>
    </row>
    <row r="102" spans="1:2" x14ac:dyDescent="0.75">
      <c r="A102" s="51">
        <v>43616</v>
      </c>
      <c r="B102" s="2">
        <v>6209.1170000000002</v>
      </c>
    </row>
    <row r="103" spans="1:2" x14ac:dyDescent="0.75">
      <c r="A103" s="51">
        <v>43626</v>
      </c>
      <c r="B103" s="2">
        <v>6289.61</v>
      </c>
    </row>
    <row r="104" spans="1:2" x14ac:dyDescent="0.75">
      <c r="A104" s="51">
        <v>43627</v>
      </c>
      <c r="B104" s="2">
        <v>6305.9920000000002</v>
      </c>
    </row>
    <row r="105" spans="1:2" x14ac:dyDescent="0.75">
      <c r="A105" s="51">
        <v>43628</v>
      </c>
      <c r="B105" s="2">
        <v>6276.1769999999997</v>
      </c>
    </row>
    <row r="106" spans="1:2" x14ac:dyDescent="0.75">
      <c r="A106" s="51">
        <v>43629</v>
      </c>
      <c r="B106" s="2">
        <v>6273.0820000000003</v>
      </c>
    </row>
    <row r="107" spans="1:2" x14ac:dyDescent="0.75">
      <c r="A107" s="51">
        <v>43630</v>
      </c>
      <c r="B107" s="2">
        <v>6250.2650000000003</v>
      </c>
    </row>
    <row r="108" spans="1:2" x14ac:dyDescent="0.75">
      <c r="A108" s="51">
        <v>43633</v>
      </c>
      <c r="B108" s="2">
        <v>6190.5249999999996</v>
      </c>
    </row>
    <row r="109" spans="1:2" x14ac:dyDescent="0.75">
      <c r="A109" s="51">
        <v>43634</v>
      </c>
      <c r="B109" s="2">
        <v>6257.33</v>
      </c>
    </row>
    <row r="110" spans="1:2" x14ac:dyDescent="0.75">
      <c r="A110" s="51">
        <v>43635</v>
      </c>
      <c r="B110" s="2">
        <v>6339.2619999999997</v>
      </c>
    </row>
    <row r="111" spans="1:2" x14ac:dyDescent="0.75">
      <c r="A111" s="51">
        <v>43636</v>
      </c>
      <c r="B111" s="2">
        <v>6335.6980000000003</v>
      </c>
    </row>
    <row r="112" spans="1:2" x14ac:dyDescent="0.75">
      <c r="A112" s="51">
        <v>43637</v>
      </c>
      <c r="B112" s="2">
        <v>6315.4359999999997</v>
      </c>
    </row>
    <row r="113" spans="1:2" x14ac:dyDescent="0.75">
      <c r="A113" s="51">
        <v>43640</v>
      </c>
      <c r="B113" s="2">
        <v>6288.4650000000001</v>
      </c>
    </row>
    <row r="114" spans="1:2" x14ac:dyDescent="0.75">
      <c r="A114" s="51">
        <v>43641</v>
      </c>
      <c r="B114" s="2">
        <v>6320.4449999999997</v>
      </c>
    </row>
    <row r="115" spans="1:2" x14ac:dyDescent="0.75">
      <c r="A115" s="51">
        <v>43642</v>
      </c>
      <c r="B115" s="2">
        <v>6310.4889999999996</v>
      </c>
    </row>
    <row r="116" spans="1:2" x14ac:dyDescent="0.75">
      <c r="A116" s="51">
        <v>43643</v>
      </c>
      <c r="B116" s="2">
        <v>6352.71</v>
      </c>
    </row>
    <row r="117" spans="1:2" x14ac:dyDescent="0.75">
      <c r="A117" s="51">
        <v>43644</v>
      </c>
      <c r="B117" s="2">
        <v>6358.6289999999999</v>
      </c>
    </row>
    <row r="118" spans="1:2" x14ac:dyDescent="0.75">
      <c r="A118" s="51">
        <v>43647</v>
      </c>
      <c r="B118" s="2">
        <v>6379.6880000000001</v>
      </c>
    </row>
    <row r="119" spans="1:2" x14ac:dyDescent="0.75">
      <c r="A119" s="51">
        <v>43648</v>
      </c>
      <c r="B119" s="2">
        <v>6384.8980000000001</v>
      </c>
    </row>
    <row r="120" spans="1:2" x14ac:dyDescent="0.75">
      <c r="A120" s="51">
        <v>43649</v>
      </c>
      <c r="B120" s="2">
        <v>6362.6220000000003</v>
      </c>
    </row>
    <row r="121" spans="1:2" x14ac:dyDescent="0.75">
      <c r="A121" s="51">
        <v>43650</v>
      </c>
      <c r="B121" s="2">
        <v>6375.9669999999996</v>
      </c>
    </row>
    <row r="122" spans="1:2" x14ac:dyDescent="0.75">
      <c r="A122" s="51">
        <v>43651</v>
      </c>
      <c r="B122" s="2">
        <v>6373.4769999999999</v>
      </c>
    </row>
    <row r="123" spans="1:2" x14ac:dyDescent="0.75">
      <c r="A123" s="51">
        <v>43654</v>
      </c>
      <c r="B123" s="2">
        <v>6351.8270000000002</v>
      </c>
    </row>
    <row r="124" spans="1:2" x14ac:dyDescent="0.75">
      <c r="A124" s="51">
        <v>43655</v>
      </c>
      <c r="B124" s="2">
        <v>6388.3230000000003</v>
      </c>
    </row>
    <row r="125" spans="1:2" x14ac:dyDescent="0.75">
      <c r="A125" s="51">
        <v>43656</v>
      </c>
      <c r="B125" s="2">
        <v>6410.683</v>
      </c>
    </row>
    <row r="126" spans="1:2" x14ac:dyDescent="0.75">
      <c r="A126" s="51">
        <v>43657</v>
      </c>
      <c r="B126" s="2">
        <v>6417.0659999999998</v>
      </c>
    </row>
    <row r="127" spans="1:2" x14ac:dyDescent="0.75">
      <c r="A127" s="51">
        <v>43658</v>
      </c>
      <c r="B127" s="2">
        <v>6373.3450000000003</v>
      </c>
    </row>
    <row r="128" spans="1:2" x14ac:dyDescent="0.75">
      <c r="A128" s="51">
        <v>43661</v>
      </c>
      <c r="B128" s="2">
        <v>6418.2340000000004</v>
      </c>
    </row>
    <row r="129" spans="1:2" x14ac:dyDescent="0.75">
      <c r="A129" s="51">
        <v>43662</v>
      </c>
      <c r="B129" s="2">
        <v>6401.88</v>
      </c>
    </row>
    <row r="130" spans="1:2" x14ac:dyDescent="0.75">
      <c r="A130" s="51">
        <v>43663</v>
      </c>
      <c r="B130" s="2">
        <v>6394.6090000000004</v>
      </c>
    </row>
    <row r="131" spans="1:2" x14ac:dyDescent="0.75">
      <c r="A131" s="51">
        <v>43664</v>
      </c>
      <c r="B131" s="2">
        <v>6403.2939999999999</v>
      </c>
    </row>
    <row r="132" spans="1:2" x14ac:dyDescent="0.75">
      <c r="A132" s="51">
        <v>43665</v>
      </c>
      <c r="B132" s="2">
        <v>6456.5389999999998</v>
      </c>
    </row>
    <row r="133" spans="1:2" x14ac:dyDescent="0.75">
      <c r="A133" s="51">
        <v>43668</v>
      </c>
      <c r="B133" s="2">
        <v>6433.5469999999996</v>
      </c>
    </row>
    <row r="134" spans="1:2" x14ac:dyDescent="0.75">
      <c r="A134" s="51">
        <v>43669</v>
      </c>
      <c r="B134" s="2">
        <v>6403.81</v>
      </c>
    </row>
    <row r="135" spans="1:2" x14ac:dyDescent="0.75">
      <c r="A135" s="51">
        <v>43670</v>
      </c>
      <c r="B135" s="2">
        <v>6384.9870000000001</v>
      </c>
    </row>
    <row r="136" spans="1:2" x14ac:dyDescent="0.75">
      <c r="A136" s="51">
        <v>43671</v>
      </c>
      <c r="B136" s="2">
        <v>6401.3649999999998</v>
      </c>
    </row>
    <row r="137" spans="1:2" x14ac:dyDescent="0.75">
      <c r="A137" s="51">
        <v>43672</v>
      </c>
      <c r="B137" s="2">
        <v>6325.2370000000001</v>
      </c>
    </row>
    <row r="138" spans="1:2" x14ac:dyDescent="0.75">
      <c r="A138" s="51">
        <v>43675</v>
      </c>
      <c r="B138" s="2">
        <v>6299.0349999999999</v>
      </c>
    </row>
    <row r="139" spans="1:2" x14ac:dyDescent="0.75">
      <c r="A139" s="51">
        <v>43676</v>
      </c>
      <c r="B139" s="2">
        <v>6376.9960000000001</v>
      </c>
    </row>
    <row r="140" spans="1:2" x14ac:dyDescent="0.75">
      <c r="A140" s="51">
        <v>43677</v>
      </c>
      <c r="B140" s="2">
        <v>6390.5050000000001</v>
      </c>
    </row>
    <row r="141" spans="1:2" x14ac:dyDescent="0.75">
      <c r="A141" s="51">
        <v>43678</v>
      </c>
      <c r="B141" s="2">
        <v>6381.5420000000004</v>
      </c>
    </row>
    <row r="142" spans="1:2" x14ac:dyDescent="0.75">
      <c r="A142" s="51">
        <v>43679</v>
      </c>
      <c r="B142" s="2">
        <v>6340.18</v>
      </c>
    </row>
    <row r="143" spans="1:2" x14ac:dyDescent="0.75">
      <c r="A143" s="51">
        <v>43682</v>
      </c>
      <c r="B143" s="2">
        <v>6175.7030000000004</v>
      </c>
    </row>
    <row r="144" spans="1:2" x14ac:dyDescent="0.75">
      <c r="A144" s="51">
        <v>43683</v>
      </c>
      <c r="B144" s="2">
        <v>6119.4709999999995</v>
      </c>
    </row>
    <row r="145" spans="1:2" x14ac:dyDescent="0.75">
      <c r="A145" s="51">
        <v>43684</v>
      </c>
      <c r="B145" s="2">
        <v>6204.1949999999997</v>
      </c>
    </row>
    <row r="146" spans="1:2" x14ac:dyDescent="0.75">
      <c r="A146" s="51">
        <v>43685</v>
      </c>
      <c r="B146" s="2">
        <v>6274.6710000000003</v>
      </c>
    </row>
    <row r="147" spans="1:2" x14ac:dyDescent="0.75">
      <c r="A147" s="51">
        <v>43686</v>
      </c>
      <c r="B147" s="2">
        <v>6282.1319999999996</v>
      </c>
    </row>
    <row r="148" spans="1:2" x14ac:dyDescent="0.75">
      <c r="A148" s="51">
        <v>43689</v>
      </c>
      <c r="B148" s="2">
        <v>6250.5950000000003</v>
      </c>
    </row>
    <row r="149" spans="1:2" x14ac:dyDescent="0.75">
      <c r="A149" s="51">
        <v>43690</v>
      </c>
      <c r="B149" s="2">
        <v>6210.9620000000004</v>
      </c>
    </row>
    <row r="150" spans="1:2" x14ac:dyDescent="0.75">
      <c r="A150" s="51">
        <v>43691</v>
      </c>
      <c r="B150" s="2">
        <v>6267.335</v>
      </c>
    </row>
    <row r="151" spans="1:2" x14ac:dyDescent="0.75">
      <c r="A151" s="51">
        <v>43692</v>
      </c>
      <c r="B151" s="2">
        <v>6257.5860000000002</v>
      </c>
    </row>
    <row r="152" spans="1:2" x14ac:dyDescent="0.75">
      <c r="A152" s="51">
        <v>43693</v>
      </c>
      <c r="B152" s="2">
        <v>6286.6570000000002</v>
      </c>
    </row>
    <row r="153" spans="1:2" x14ac:dyDescent="0.75">
      <c r="A153" s="51">
        <v>43696</v>
      </c>
      <c r="B153" s="2">
        <v>6296.7150000000001</v>
      </c>
    </row>
    <row r="154" spans="1:2" x14ac:dyDescent="0.75">
      <c r="A154" s="51">
        <v>43697</v>
      </c>
      <c r="B154" s="2">
        <v>6295.7380000000003</v>
      </c>
    </row>
    <row r="155" spans="1:2" x14ac:dyDescent="0.75">
      <c r="A155" s="51">
        <v>43698</v>
      </c>
      <c r="B155" s="2">
        <v>6252.9669999999996</v>
      </c>
    </row>
    <row r="156" spans="1:2" x14ac:dyDescent="0.75">
      <c r="A156" s="51">
        <v>43699</v>
      </c>
      <c r="B156" s="2">
        <v>6239.2449999999999</v>
      </c>
    </row>
    <row r="157" spans="1:2" x14ac:dyDescent="0.75">
      <c r="A157" s="51">
        <v>43700</v>
      </c>
      <c r="B157" s="2">
        <v>6255.5969999999998</v>
      </c>
    </row>
    <row r="158" spans="1:2" x14ac:dyDescent="0.75">
      <c r="A158" s="51">
        <v>43703</v>
      </c>
      <c r="B158" s="2">
        <v>6214.51</v>
      </c>
    </row>
    <row r="159" spans="1:2" x14ac:dyDescent="0.75">
      <c r="A159" s="51">
        <v>43704</v>
      </c>
      <c r="B159" s="2">
        <v>6278.1710000000003</v>
      </c>
    </row>
    <row r="160" spans="1:2" x14ac:dyDescent="0.75">
      <c r="A160" s="51">
        <v>43705</v>
      </c>
      <c r="B160" s="2">
        <v>6281.6459999999997</v>
      </c>
    </row>
    <row r="161" spans="1:2" x14ac:dyDescent="0.75">
      <c r="A161" s="51">
        <v>43706</v>
      </c>
      <c r="B161" s="2">
        <v>6289.1189999999997</v>
      </c>
    </row>
    <row r="162" spans="1:2" x14ac:dyDescent="0.75">
      <c r="A162" s="51">
        <v>43707</v>
      </c>
      <c r="B162" s="2">
        <v>6328.47</v>
      </c>
    </row>
    <row r="163" spans="1:2" x14ac:dyDescent="0.75">
      <c r="A163" s="51">
        <v>43710</v>
      </c>
      <c r="B163" s="2">
        <v>6290.5460000000003</v>
      </c>
    </row>
    <row r="164" spans="1:2" x14ac:dyDescent="0.75">
      <c r="A164" s="51">
        <v>43711</v>
      </c>
      <c r="B164" s="2">
        <v>6261.59</v>
      </c>
    </row>
    <row r="165" spans="1:2" x14ac:dyDescent="0.75">
      <c r="A165" s="51">
        <v>43712</v>
      </c>
      <c r="B165" s="2">
        <v>6269.6639999999998</v>
      </c>
    </row>
    <row r="166" spans="1:2" x14ac:dyDescent="0.75">
      <c r="A166" s="51">
        <v>43713</v>
      </c>
      <c r="B166" s="2">
        <v>6306.8029999999999</v>
      </c>
    </row>
    <row r="167" spans="1:2" x14ac:dyDescent="0.75">
      <c r="A167" s="51">
        <v>43714</v>
      </c>
      <c r="B167" s="2">
        <v>6308.95</v>
      </c>
    </row>
    <row r="168" spans="1:2" x14ac:dyDescent="0.75">
      <c r="A168" s="51">
        <v>43717</v>
      </c>
      <c r="B168" s="2">
        <v>6326.2129999999997</v>
      </c>
    </row>
    <row r="169" spans="1:2" x14ac:dyDescent="0.75">
      <c r="A169" s="51">
        <v>43718</v>
      </c>
      <c r="B169" s="2">
        <v>6336.6729999999998</v>
      </c>
    </row>
    <row r="170" spans="1:2" x14ac:dyDescent="0.75">
      <c r="A170" s="51">
        <v>43719</v>
      </c>
      <c r="B170" s="2">
        <v>6381.9539999999997</v>
      </c>
    </row>
    <row r="171" spans="1:2" x14ac:dyDescent="0.75">
      <c r="A171" s="51">
        <v>43720</v>
      </c>
      <c r="B171" s="2">
        <v>6342.174</v>
      </c>
    </row>
    <row r="172" spans="1:2" x14ac:dyDescent="0.75">
      <c r="A172" s="51">
        <v>43721</v>
      </c>
      <c r="B172" s="2">
        <v>6334.8429999999998</v>
      </c>
    </row>
    <row r="173" spans="1:2" x14ac:dyDescent="0.75">
      <c r="A173" s="51">
        <v>43724</v>
      </c>
      <c r="B173" s="2">
        <v>6219.4350000000004</v>
      </c>
    </row>
    <row r="174" spans="1:2" x14ac:dyDescent="0.75">
      <c r="A174" s="51">
        <v>43725</v>
      </c>
      <c r="B174" s="2">
        <v>6236.69</v>
      </c>
    </row>
    <row r="175" spans="1:2" x14ac:dyDescent="0.75">
      <c r="A175" s="51">
        <v>43726</v>
      </c>
      <c r="B175" s="2">
        <v>6276.6329999999998</v>
      </c>
    </row>
    <row r="176" spans="1:2" x14ac:dyDescent="0.75">
      <c r="A176" s="51">
        <v>43727</v>
      </c>
      <c r="B176" s="2">
        <v>6244.47</v>
      </c>
    </row>
    <row r="177" spans="1:2" x14ac:dyDescent="0.75">
      <c r="A177" s="51">
        <v>43728</v>
      </c>
      <c r="B177" s="2">
        <v>6231.473</v>
      </c>
    </row>
    <row r="178" spans="1:2" x14ac:dyDescent="0.75">
      <c r="A178" s="51">
        <v>43731</v>
      </c>
      <c r="B178" s="2">
        <v>6206.1989999999996</v>
      </c>
    </row>
    <row r="179" spans="1:2" x14ac:dyDescent="0.75">
      <c r="A179" s="51">
        <v>43732</v>
      </c>
      <c r="B179" s="2">
        <v>6137.6080000000002</v>
      </c>
    </row>
    <row r="180" spans="1:2" x14ac:dyDescent="0.75">
      <c r="A180" s="51">
        <v>43733</v>
      </c>
      <c r="B180" s="2">
        <v>6146.4040000000005</v>
      </c>
    </row>
    <row r="181" spans="1:2" x14ac:dyDescent="0.75">
      <c r="A181" s="51">
        <v>43734</v>
      </c>
      <c r="B181" s="2">
        <v>6230.3339999999998</v>
      </c>
    </row>
    <row r="182" spans="1:2" x14ac:dyDescent="0.75">
      <c r="A182" s="51">
        <v>43735</v>
      </c>
      <c r="B182" s="2">
        <v>6196.8890000000001</v>
      </c>
    </row>
    <row r="183" spans="1:2" x14ac:dyDescent="0.75">
      <c r="A183" s="51">
        <v>43738</v>
      </c>
      <c r="B183" s="2">
        <v>6169.1019999999999</v>
      </c>
    </row>
    <row r="184" spans="1:2" x14ac:dyDescent="0.75">
      <c r="A184" s="51">
        <v>43739</v>
      </c>
      <c r="B184" s="2">
        <v>6138.25</v>
      </c>
    </row>
    <row r="185" spans="1:2" x14ac:dyDescent="0.75">
      <c r="A185" s="51">
        <v>43740</v>
      </c>
      <c r="B185" s="2">
        <v>6055.4250000000002</v>
      </c>
    </row>
    <row r="186" spans="1:2" x14ac:dyDescent="0.75">
      <c r="A186" s="51">
        <v>43741</v>
      </c>
      <c r="B186" s="2">
        <v>6038.5290000000005</v>
      </c>
    </row>
    <row r="187" spans="1:2" x14ac:dyDescent="0.75">
      <c r="A187" s="51">
        <v>43742</v>
      </c>
      <c r="B187" s="2">
        <v>6061.2520000000004</v>
      </c>
    </row>
    <row r="188" spans="1:2" x14ac:dyDescent="0.75">
      <c r="A188" s="51">
        <v>43745</v>
      </c>
      <c r="B188" s="2">
        <v>6000.5820000000003</v>
      </c>
    </row>
    <row r="189" spans="1:2" x14ac:dyDescent="0.75">
      <c r="A189" s="51">
        <v>43746</v>
      </c>
      <c r="B189" s="2">
        <v>6039.6009999999997</v>
      </c>
    </row>
    <row r="190" spans="1:2" x14ac:dyDescent="0.75">
      <c r="A190" s="51">
        <v>43747</v>
      </c>
      <c r="B190" s="2">
        <v>6029.16</v>
      </c>
    </row>
    <row r="191" spans="1:2" x14ac:dyDescent="0.75">
      <c r="A191" s="51">
        <v>43748</v>
      </c>
      <c r="B191" s="2">
        <v>6023.6409999999996</v>
      </c>
    </row>
    <row r="192" spans="1:2" x14ac:dyDescent="0.75">
      <c r="A192" s="51">
        <v>43749</v>
      </c>
      <c r="B192" s="2">
        <v>6105.8</v>
      </c>
    </row>
    <row r="193" spans="1:2" x14ac:dyDescent="0.75">
      <c r="A193" s="51">
        <v>43752</v>
      </c>
      <c r="B193" s="2">
        <v>6126.8770000000004</v>
      </c>
    </row>
    <row r="194" spans="1:2" x14ac:dyDescent="0.75">
      <c r="A194" s="51">
        <v>43753</v>
      </c>
      <c r="B194" s="2">
        <v>6158.1660000000002</v>
      </c>
    </row>
    <row r="195" spans="1:2" x14ac:dyDescent="0.75">
      <c r="A195" s="51">
        <v>43754</v>
      </c>
      <c r="B195" s="2">
        <v>6169.5919999999996</v>
      </c>
    </row>
    <row r="196" spans="1:2" x14ac:dyDescent="0.75">
      <c r="A196" s="51">
        <v>43755</v>
      </c>
      <c r="B196" s="2">
        <v>6181.0140000000001</v>
      </c>
    </row>
    <row r="197" spans="1:2" x14ac:dyDescent="0.75">
      <c r="A197" s="51">
        <v>43756</v>
      </c>
      <c r="B197" s="2">
        <v>6191.9470000000001</v>
      </c>
    </row>
    <row r="198" spans="1:2" x14ac:dyDescent="0.75">
      <c r="A198" s="51">
        <v>43759</v>
      </c>
      <c r="B198" s="2">
        <v>6198.9870000000001</v>
      </c>
    </row>
    <row r="199" spans="1:2" x14ac:dyDescent="0.75">
      <c r="A199" s="51">
        <v>43760</v>
      </c>
      <c r="B199" s="2">
        <v>6225.4970000000003</v>
      </c>
    </row>
    <row r="200" spans="1:2" x14ac:dyDescent="0.75">
      <c r="A200" s="51">
        <v>43761</v>
      </c>
      <c r="B200" s="2">
        <v>6257.8059999999996</v>
      </c>
    </row>
    <row r="201" spans="1:2" x14ac:dyDescent="0.75">
      <c r="A201" s="51">
        <v>43762</v>
      </c>
      <c r="B201" s="2">
        <v>6339.6469999999999</v>
      </c>
    </row>
    <row r="202" spans="1:2" x14ac:dyDescent="0.75">
      <c r="A202" s="51">
        <v>43763</v>
      </c>
      <c r="B202" s="2">
        <v>6252.3450000000003</v>
      </c>
    </row>
    <row r="203" spans="1:2" x14ac:dyDescent="0.75">
      <c r="A203" s="51">
        <v>43766</v>
      </c>
      <c r="B203" s="2">
        <v>6265.384</v>
      </c>
    </row>
    <row r="204" spans="1:2" x14ac:dyDescent="0.75">
      <c r="A204" s="51">
        <v>43767</v>
      </c>
      <c r="B204" s="2">
        <v>6281.1379999999999</v>
      </c>
    </row>
    <row r="205" spans="1:2" x14ac:dyDescent="0.75">
      <c r="A205" s="51">
        <v>43768</v>
      </c>
      <c r="B205" s="2">
        <v>6295.7470000000003</v>
      </c>
    </row>
    <row r="206" spans="1:2" x14ac:dyDescent="0.75">
      <c r="A206" s="51">
        <v>43769</v>
      </c>
      <c r="B206" s="2">
        <v>6228.317</v>
      </c>
    </row>
    <row r="207" spans="1:2" x14ac:dyDescent="0.75">
      <c r="A207" s="51">
        <v>43770</v>
      </c>
      <c r="B207" s="2">
        <v>6207.1909999999998</v>
      </c>
    </row>
    <row r="208" spans="1:2" x14ac:dyDescent="0.75">
      <c r="A208" s="51">
        <v>43773</v>
      </c>
      <c r="B208" s="2">
        <v>6180.3440000000001</v>
      </c>
    </row>
    <row r="209" spans="1:2" x14ac:dyDescent="0.75">
      <c r="A209" s="51">
        <v>43774</v>
      </c>
      <c r="B209" s="2">
        <v>6264.152</v>
      </c>
    </row>
    <row r="210" spans="1:2" x14ac:dyDescent="0.75">
      <c r="A210" s="51">
        <v>43775</v>
      </c>
      <c r="B210" s="2">
        <v>6217.5450000000001</v>
      </c>
    </row>
    <row r="211" spans="1:2" x14ac:dyDescent="0.75">
      <c r="A211" s="51">
        <v>43776</v>
      </c>
      <c r="B211" s="2">
        <v>6165.6239999999998</v>
      </c>
    </row>
    <row r="212" spans="1:2" x14ac:dyDescent="0.75">
      <c r="A212" s="51">
        <v>43777</v>
      </c>
      <c r="B212" s="2">
        <v>6177.9859999999999</v>
      </c>
    </row>
    <row r="213" spans="1:2" x14ac:dyDescent="0.75">
      <c r="A213" s="51">
        <v>43780</v>
      </c>
      <c r="B213" s="2">
        <v>6148.74</v>
      </c>
    </row>
    <row r="214" spans="1:2" x14ac:dyDescent="0.75">
      <c r="A214" s="51">
        <v>43781</v>
      </c>
      <c r="B214" s="2">
        <v>6180.9920000000002</v>
      </c>
    </row>
    <row r="215" spans="1:2" x14ac:dyDescent="0.75">
      <c r="A215" s="51">
        <v>43782</v>
      </c>
      <c r="B215" s="2">
        <v>6142.5010000000002</v>
      </c>
    </row>
    <row r="216" spans="1:2" x14ac:dyDescent="0.75">
      <c r="A216" s="51">
        <v>43783</v>
      </c>
      <c r="B216" s="2">
        <v>6098.95</v>
      </c>
    </row>
    <row r="217" spans="1:2" x14ac:dyDescent="0.75">
      <c r="A217" s="51">
        <v>43784</v>
      </c>
      <c r="B217" s="2">
        <v>6128.3450000000003</v>
      </c>
    </row>
    <row r="218" spans="1:2" x14ac:dyDescent="0.75">
      <c r="A218" s="51">
        <v>43787</v>
      </c>
      <c r="B218" s="2">
        <v>6122.625</v>
      </c>
    </row>
    <row r="219" spans="1:2" x14ac:dyDescent="0.75">
      <c r="A219" s="51">
        <v>43788</v>
      </c>
      <c r="B219" s="2">
        <v>6152.09</v>
      </c>
    </row>
    <row r="220" spans="1:2" x14ac:dyDescent="0.75">
      <c r="A220" s="51">
        <v>43789</v>
      </c>
      <c r="B220" s="2">
        <v>6155.1090000000004</v>
      </c>
    </row>
    <row r="221" spans="1:2" x14ac:dyDescent="0.75">
      <c r="A221" s="51">
        <v>43790</v>
      </c>
      <c r="B221" s="2">
        <v>6117.3639999999996</v>
      </c>
    </row>
    <row r="222" spans="1:2" x14ac:dyDescent="0.75">
      <c r="A222" s="51">
        <v>43791</v>
      </c>
      <c r="B222" s="2">
        <v>6100.2420000000002</v>
      </c>
    </row>
    <row r="223" spans="1:2" x14ac:dyDescent="0.75">
      <c r="A223" s="51">
        <v>43794</v>
      </c>
      <c r="B223" s="2">
        <v>6070.7619999999997</v>
      </c>
    </row>
    <row r="224" spans="1:2" x14ac:dyDescent="0.75">
      <c r="A224" s="51">
        <v>43795</v>
      </c>
      <c r="B224" s="2">
        <v>6026.1880000000001</v>
      </c>
    </row>
    <row r="225" spans="1:2" x14ac:dyDescent="0.75">
      <c r="A225" s="51">
        <v>43796</v>
      </c>
      <c r="B225" s="2">
        <v>6023.0389999999998</v>
      </c>
    </row>
    <row r="226" spans="1:2" x14ac:dyDescent="0.75">
      <c r="A226" s="51">
        <v>43797</v>
      </c>
      <c r="B226" s="2">
        <v>5953.06</v>
      </c>
    </row>
    <row r="227" spans="1:2" x14ac:dyDescent="0.75">
      <c r="A227" s="51">
        <v>43798</v>
      </c>
      <c r="B227" s="2">
        <v>6011.83</v>
      </c>
    </row>
    <row r="228" spans="1:2" x14ac:dyDescent="0.75">
      <c r="A228" s="51">
        <v>43801</v>
      </c>
      <c r="B228" s="2">
        <v>6130.0550000000003</v>
      </c>
    </row>
    <row r="229" spans="1:2" x14ac:dyDescent="0.75">
      <c r="A229" s="51">
        <v>43802</v>
      </c>
      <c r="B229" s="2">
        <v>6133.8959999999997</v>
      </c>
    </row>
    <row r="230" spans="1:2" x14ac:dyDescent="0.75">
      <c r="A230" s="51">
        <v>43803</v>
      </c>
      <c r="B230" s="2">
        <v>6112.8789999999999</v>
      </c>
    </row>
    <row r="231" spans="1:2" x14ac:dyDescent="0.75">
      <c r="A231" s="51">
        <v>43804</v>
      </c>
      <c r="B231" s="2">
        <v>6152.1170000000002</v>
      </c>
    </row>
    <row r="232" spans="1:2" x14ac:dyDescent="0.75">
      <c r="A232" s="51">
        <v>43805</v>
      </c>
      <c r="B232" s="2">
        <v>6186.8680000000004</v>
      </c>
    </row>
    <row r="233" spans="1:2" x14ac:dyDescent="0.75">
      <c r="A233" s="51">
        <v>43808</v>
      </c>
      <c r="B233" s="2">
        <v>6193.7910000000002</v>
      </c>
    </row>
    <row r="234" spans="1:2" x14ac:dyDescent="0.75">
      <c r="A234" s="51">
        <v>43809</v>
      </c>
      <c r="B234" s="2">
        <v>6183.5050000000001</v>
      </c>
    </row>
    <row r="235" spans="1:2" x14ac:dyDescent="0.75">
      <c r="A235" s="51">
        <v>43810</v>
      </c>
      <c r="B235" s="2">
        <v>6180.0990000000002</v>
      </c>
    </row>
    <row r="236" spans="1:2" x14ac:dyDescent="0.75">
      <c r="A236" s="51">
        <v>43811</v>
      </c>
      <c r="B236" s="2">
        <v>6139.3969999999999</v>
      </c>
    </row>
    <row r="237" spans="1:2" x14ac:dyDescent="0.75">
      <c r="A237" s="51">
        <v>43812</v>
      </c>
      <c r="B237" s="2">
        <v>6197.3180000000002</v>
      </c>
    </row>
    <row r="238" spans="1:2" x14ac:dyDescent="0.75">
      <c r="A238" s="51">
        <v>43815</v>
      </c>
      <c r="B238" s="2">
        <v>6211.5919999999996</v>
      </c>
    </row>
    <row r="239" spans="1:2" x14ac:dyDescent="0.75">
      <c r="A239" s="51">
        <v>43816</v>
      </c>
      <c r="B239" s="2">
        <v>6244.3519999999999</v>
      </c>
    </row>
    <row r="240" spans="1:2" x14ac:dyDescent="0.75">
      <c r="A240" s="51">
        <v>43817</v>
      </c>
      <c r="B240" s="2">
        <v>6287.25</v>
      </c>
    </row>
    <row r="241" spans="1:2" x14ac:dyDescent="0.75">
      <c r="A241" s="51">
        <v>43818</v>
      </c>
      <c r="B241" s="2">
        <v>6249.93</v>
      </c>
    </row>
    <row r="242" spans="1:2" x14ac:dyDescent="0.75">
      <c r="A242" s="51">
        <v>43819</v>
      </c>
      <c r="B242" s="2">
        <v>6284.3720000000003</v>
      </c>
    </row>
    <row r="243" spans="1:2" x14ac:dyDescent="0.75">
      <c r="A243" s="51">
        <v>43822</v>
      </c>
      <c r="B243" s="2">
        <v>6305.91</v>
      </c>
    </row>
    <row r="244" spans="1:2" x14ac:dyDescent="0.75">
      <c r="A244" s="51">
        <v>43825</v>
      </c>
      <c r="B244" s="2">
        <v>6319.4430000000002</v>
      </c>
    </row>
    <row r="245" spans="1:2" x14ac:dyDescent="0.75">
      <c r="A245" s="51">
        <v>43826</v>
      </c>
      <c r="B245" s="2">
        <v>6329.3140000000003</v>
      </c>
    </row>
    <row r="246" spans="1:2" x14ac:dyDescent="0.75">
      <c r="A246" s="51">
        <v>43829</v>
      </c>
      <c r="B246" s="2">
        <v>6299.5389999999998</v>
      </c>
    </row>
    <row r="247" spans="1:2" x14ac:dyDescent="0.75">
      <c r="A247" s="51">
        <v>43832</v>
      </c>
      <c r="B247" s="2">
        <v>6283.5810000000001</v>
      </c>
    </row>
    <row r="248" spans="1:2" x14ac:dyDescent="0.75">
      <c r="A248" s="51">
        <v>43833</v>
      </c>
      <c r="B248" s="2">
        <v>6323.4660000000003</v>
      </c>
    </row>
    <row r="249" spans="1:2" x14ac:dyDescent="0.75">
      <c r="A249" s="51">
        <v>43836</v>
      </c>
      <c r="B249" s="2">
        <v>6257.4030000000002</v>
      </c>
    </row>
    <row r="250" spans="1:2" x14ac:dyDescent="0.75">
      <c r="A250" s="51">
        <v>43837</v>
      </c>
      <c r="B250" s="2">
        <v>6279.3459999999995</v>
      </c>
    </row>
    <row r="251" spans="1:2" x14ac:dyDescent="0.75">
      <c r="A251" s="51">
        <v>43838</v>
      </c>
      <c r="B251" s="2">
        <v>6225.6859999999997</v>
      </c>
    </row>
    <row r="252" spans="1:2" x14ac:dyDescent="0.75">
      <c r="A252" s="51">
        <v>43839</v>
      </c>
      <c r="B252" s="2">
        <v>6274.4930000000004</v>
      </c>
    </row>
    <row r="253" spans="1:2" x14ac:dyDescent="0.75">
      <c r="A253" s="51">
        <v>43840</v>
      </c>
      <c r="B253" s="2">
        <v>6274.9409999999998</v>
      </c>
    </row>
    <row r="254" spans="1:2" x14ac:dyDescent="0.75">
      <c r="A254" s="51">
        <v>43843</v>
      </c>
      <c r="B254" s="2">
        <v>6296.567</v>
      </c>
    </row>
    <row r="255" spans="1:2" x14ac:dyDescent="0.75">
      <c r="A255" s="51">
        <v>43844</v>
      </c>
      <c r="B255" s="2">
        <v>6325.4059999999999</v>
      </c>
    </row>
    <row r="256" spans="1:2" x14ac:dyDescent="0.75">
      <c r="A256" s="51">
        <v>43845</v>
      </c>
      <c r="B256" s="2">
        <v>6283.3649999999998</v>
      </c>
    </row>
    <row r="257" spans="1:2" x14ac:dyDescent="0.75">
      <c r="A257" s="51">
        <v>43846</v>
      </c>
      <c r="B257" s="2">
        <v>6286.0479999999998</v>
      </c>
    </row>
    <row r="258" spans="1:2" x14ac:dyDescent="0.75">
      <c r="A258" s="51">
        <v>43847</v>
      </c>
      <c r="B258" s="2">
        <v>6291.6570000000002</v>
      </c>
    </row>
    <row r="259" spans="1:2" x14ac:dyDescent="0.75">
      <c r="A259" s="51">
        <v>43850</v>
      </c>
      <c r="B259" s="2">
        <v>6245.0429999999997</v>
      </c>
    </row>
    <row r="260" spans="1:2" x14ac:dyDescent="0.75">
      <c r="A260" s="51">
        <v>43851</v>
      </c>
      <c r="B260" s="2">
        <v>6238.1530000000002</v>
      </c>
    </row>
    <row r="261" spans="1:2" x14ac:dyDescent="0.75">
      <c r="A261" s="51">
        <v>43852</v>
      </c>
      <c r="B261" s="2">
        <v>6233.4530000000004</v>
      </c>
    </row>
    <row r="262" spans="1:2" x14ac:dyDescent="0.75">
      <c r="A262" s="51">
        <v>43853</v>
      </c>
      <c r="B262" s="2">
        <v>6249.21</v>
      </c>
    </row>
    <row r="263" spans="1:2" x14ac:dyDescent="0.75">
      <c r="A263" s="51">
        <v>43854</v>
      </c>
      <c r="B263" s="2">
        <v>6244.1090000000004</v>
      </c>
    </row>
    <row r="264" spans="1:2" x14ac:dyDescent="0.75">
      <c r="A264" s="51">
        <v>43857</v>
      </c>
      <c r="B264" s="2">
        <v>6133.2079999999996</v>
      </c>
    </row>
    <row r="265" spans="1:2" x14ac:dyDescent="0.75">
      <c r="A265" s="51">
        <v>43858</v>
      </c>
      <c r="B265" s="2">
        <v>6111.1840000000002</v>
      </c>
    </row>
    <row r="266" spans="1:2" x14ac:dyDescent="0.75">
      <c r="A266" s="51">
        <v>43859</v>
      </c>
      <c r="B266" s="2">
        <v>6113.0450000000001</v>
      </c>
    </row>
    <row r="267" spans="1:2" x14ac:dyDescent="0.75">
      <c r="A267" s="51">
        <v>43860</v>
      </c>
      <c r="B267" s="2">
        <v>6057.5959999999995</v>
      </c>
    </row>
    <row r="268" spans="1:2" x14ac:dyDescent="0.75">
      <c r="A268" s="51">
        <v>43861</v>
      </c>
      <c r="B268" s="2">
        <v>5940.0479999999998</v>
      </c>
    </row>
    <row r="269" spans="1:2" x14ac:dyDescent="0.75">
      <c r="A269" s="51">
        <v>43864</v>
      </c>
      <c r="B269" s="2">
        <v>5884.17</v>
      </c>
    </row>
    <row r="270" spans="1:2" x14ac:dyDescent="0.75">
      <c r="A270" s="51">
        <v>43865</v>
      </c>
      <c r="B270" s="2">
        <v>5922.3389999999999</v>
      </c>
    </row>
    <row r="271" spans="1:2" x14ac:dyDescent="0.75">
      <c r="A271" s="51">
        <v>43866</v>
      </c>
      <c r="B271" s="2">
        <v>5978.51</v>
      </c>
    </row>
    <row r="272" spans="1:2" x14ac:dyDescent="0.75">
      <c r="A272" s="51">
        <v>43867</v>
      </c>
      <c r="B272" s="2">
        <v>5987.1450000000004</v>
      </c>
    </row>
    <row r="273" spans="1:2" x14ac:dyDescent="0.75">
      <c r="A273" s="51">
        <v>43868</v>
      </c>
      <c r="B273" s="2">
        <v>5999.607</v>
      </c>
    </row>
    <row r="274" spans="1:2" x14ac:dyDescent="0.75">
      <c r="A274" s="51">
        <v>43871</v>
      </c>
      <c r="B274" s="2">
        <v>5952.0829999999996</v>
      </c>
    </row>
    <row r="275" spans="1:2" x14ac:dyDescent="0.75">
      <c r="A275" s="51">
        <v>43872</v>
      </c>
      <c r="B275" s="2">
        <v>5954.3969999999999</v>
      </c>
    </row>
    <row r="276" spans="1:2" x14ac:dyDescent="0.75">
      <c r="A276" s="51">
        <v>43873</v>
      </c>
      <c r="B276" s="2">
        <v>5913.0810000000001</v>
      </c>
    </row>
    <row r="277" spans="1:2" x14ac:dyDescent="0.75">
      <c r="A277" s="51">
        <v>43874</v>
      </c>
      <c r="B277" s="2">
        <v>5871.9539999999997</v>
      </c>
    </row>
    <row r="278" spans="1:2" x14ac:dyDescent="0.75">
      <c r="A278" s="51">
        <v>43875</v>
      </c>
      <c r="B278" s="2">
        <v>5866.9449999999997</v>
      </c>
    </row>
    <row r="279" spans="1:2" x14ac:dyDescent="0.75">
      <c r="A279" s="51">
        <v>43878</v>
      </c>
      <c r="B279" s="2">
        <v>5867.5230000000001</v>
      </c>
    </row>
    <row r="280" spans="1:2" x14ac:dyDescent="0.75">
      <c r="A280" s="51">
        <v>43879</v>
      </c>
      <c r="B280" s="2">
        <v>5886.9620000000004</v>
      </c>
    </row>
    <row r="281" spans="1:2" x14ac:dyDescent="0.75">
      <c r="A281" s="51">
        <v>43880</v>
      </c>
      <c r="B281" s="2">
        <v>5928.7910000000002</v>
      </c>
    </row>
    <row r="282" spans="1:2" x14ac:dyDescent="0.75">
      <c r="A282" s="51">
        <v>43881</v>
      </c>
      <c r="B282" s="2">
        <v>5942.4870000000001</v>
      </c>
    </row>
    <row r="283" spans="1:2" x14ac:dyDescent="0.75">
      <c r="A283" s="51">
        <v>43882</v>
      </c>
      <c r="B283" s="2">
        <v>5882.2550000000001</v>
      </c>
    </row>
    <row r="284" spans="1:2" x14ac:dyDescent="0.75">
      <c r="A284" s="51">
        <v>43885</v>
      </c>
      <c r="B284" s="2">
        <v>5807.05</v>
      </c>
    </row>
    <row r="285" spans="1:2" x14ac:dyDescent="0.75">
      <c r="A285" s="51">
        <v>43886</v>
      </c>
      <c r="B285" s="2">
        <v>5787.1379999999999</v>
      </c>
    </row>
    <row r="286" spans="1:2" x14ac:dyDescent="0.75">
      <c r="A286" s="51">
        <v>43887</v>
      </c>
      <c r="B286" s="2">
        <v>5688.9210000000003</v>
      </c>
    </row>
    <row r="287" spans="1:2" x14ac:dyDescent="0.75">
      <c r="A287" s="51">
        <v>43888</v>
      </c>
      <c r="B287" s="2">
        <v>5535.6940000000004</v>
      </c>
    </row>
    <row r="288" spans="1:2" x14ac:dyDescent="0.75">
      <c r="A288" s="51">
        <v>43889</v>
      </c>
      <c r="B288" s="2">
        <v>5452.7039999999997</v>
      </c>
    </row>
    <row r="289" spans="1:2" x14ac:dyDescent="0.75">
      <c r="A289" s="51">
        <v>43892</v>
      </c>
      <c r="B289" s="2">
        <v>5361.2460000000001</v>
      </c>
    </row>
    <row r="290" spans="1:2" x14ac:dyDescent="0.75">
      <c r="A290" s="51">
        <v>43893</v>
      </c>
      <c r="B290" s="2">
        <v>5518.6279999999997</v>
      </c>
    </row>
    <row r="291" spans="1:2" x14ac:dyDescent="0.75">
      <c r="A291" s="51">
        <v>43894</v>
      </c>
      <c r="B291" s="2">
        <v>5650.1360000000004</v>
      </c>
    </row>
    <row r="292" spans="1:2" x14ac:dyDescent="0.75">
      <c r="A292" s="51">
        <v>43895</v>
      </c>
      <c r="B292" s="2">
        <v>5638.13</v>
      </c>
    </row>
    <row r="293" spans="1:2" x14ac:dyDescent="0.75">
      <c r="A293" s="51">
        <v>43896</v>
      </c>
      <c r="B293" s="2">
        <v>5498.54</v>
      </c>
    </row>
    <row r="294" spans="1:2" x14ac:dyDescent="0.75">
      <c r="A294" s="51">
        <v>43899</v>
      </c>
      <c r="B294" s="2">
        <v>5136.8090000000002</v>
      </c>
    </row>
    <row r="295" spans="1:2" x14ac:dyDescent="0.75">
      <c r="A295" s="51">
        <v>43900</v>
      </c>
      <c r="B295" s="2">
        <v>5220.826</v>
      </c>
    </row>
    <row r="296" spans="1:2" x14ac:dyDescent="0.75">
      <c r="A296" s="51">
        <v>43901</v>
      </c>
      <c r="B296" s="2">
        <v>5154.1049999999996</v>
      </c>
    </row>
    <row r="297" spans="1:2" x14ac:dyDescent="0.75">
      <c r="A297" s="51">
        <v>43902</v>
      </c>
      <c r="B297" s="2">
        <v>4895.7479999999996</v>
      </c>
    </row>
    <row r="298" spans="1:2" x14ac:dyDescent="0.75">
      <c r="A298" s="51">
        <v>43903</v>
      </c>
      <c r="B298" s="2">
        <v>4907.5709999999999</v>
      </c>
    </row>
    <row r="299" spans="1:2" x14ac:dyDescent="0.75">
      <c r="A299" s="51">
        <v>43906</v>
      </c>
      <c r="B299" s="2">
        <v>4690.6570000000002</v>
      </c>
    </row>
    <row r="300" spans="1:2" x14ac:dyDescent="0.75">
      <c r="A300" s="51">
        <v>43907</v>
      </c>
      <c r="B300" s="2">
        <v>4456.7489999999998</v>
      </c>
    </row>
    <row r="301" spans="1:2" x14ac:dyDescent="0.75">
      <c r="A301" s="51">
        <v>43908</v>
      </c>
      <c r="B301" s="2">
        <v>4330.674</v>
      </c>
    </row>
    <row r="302" spans="1:2" x14ac:dyDescent="0.75">
      <c r="A302" s="51">
        <v>43909</v>
      </c>
      <c r="B302" s="2">
        <v>4105.4219999999996</v>
      </c>
    </row>
    <row r="303" spans="1:2" x14ac:dyDescent="0.75">
      <c r="A303" s="51">
        <v>43910</v>
      </c>
      <c r="B303" s="2">
        <v>4194.9440000000004</v>
      </c>
    </row>
    <row r="304" spans="1:2" x14ac:dyDescent="0.75">
      <c r="A304" s="51">
        <v>43913</v>
      </c>
      <c r="B304" s="2">
        <v>3989.5169999999998</v>
      </c>
    </row>
    <row r="305" spans="1:2" x14ac:dyDescent="0.75">
      <c r="A305" s="51">
        <v>43914</v>
      </c>
      <c r="B305" s="2">
        <v>3937.6320000000001</v>
      </c>
    </row>
    <row r="306" spans="1:2" x14ac:dyDescent="0.75">
      <c r="A306" s="51">
        <v>43916</v>
      </c>
      <c r="B306" s="2">
        <v>4338.9040000000005</v>
      </c>
    </row>
    <row r="307" spans="1:2" x14ac:dyDescent="0.75">
      <c r="A307" s="51">
        <v>43917</v>
      </c>
      <c r="B307" s="2">
        <v>4545.5709999999999</v>
      </c>
    </row>
    <row r="308" spans="1:2" x14ac:dyDescent="0.75">
      <c r="A308" s="51">
        <v>43920</v>
      </c>
      <c r="B308" s="2">
        <v>4414.5</v>
      </c>
    </row>
    <row r="309" spans="1:2" x14ac:dyDescent="0.75">
      <c r="A309" s="51">
        <v>43921</v>
      </c>
      <c r="B309" s="2">
        <v>4538.93</v>
      </c>
    </row>
    <row r="310" spans="1:2" x14ac:dyDescent="0.75">
      <c r="A310" s="51">
        <v>43922</v>
      </c>
      <c r="B310" s="2">
        <v>4466.0370000000003</v>
      </c>
    </row>
    <row r="311" spans="1:2" x14ac:dyDescent="0.75">
      <c r="A311" s="51">
        <v>43923</v>
      </c>
      <c r="B311" s="2">
        <v>4531.6850000000004</v>
      </c>
    </row>
    <row r="312" spans="1:2" x14ac:dyDescent="0.75">
      <c r="A312" s="51">
        <v>43924</v>
      </c>
      <c r="B312" s="2">
        <v>4623.4290000000001</v>
      </c>
    </row>
    <row r="313" spans="1:2" x14ac:dyDescent="0.75">
      <c r="A313" s="51">
        <v>43927</v>
      </c>
      <c r="B313" s="2">
        <v>4811.8270000000002</v>
      </c>
    </row>
    <row r="314" spans="1:2" x14ac:dyDescent="0.75">
      <c r="A314" s="51">
        <v>43928</v>
      </c>
      <c r="B314" s="2">
        <v>4778.6390000000001</v>
      </c>
    </row>
    <row r="315" spans="1:2" x14ac:dyDescent="0.75">
      <c r="A315" s="51">
        <v>43929</v>
      </c>
      <c r="B315" s="2">
        <v>4626.6949999999997</v>
      </c>
    </row>
    <row r="316" spans="1:2" x14ac:dyDescent="0.75">
      <c r="A316" s="51">
        <v>43930</v>
      </c>
      <c r="B316" s="2">
        <v>4649.0789999999997</v>
      </c>
    </row>
    <row r="317" spans="1:2" x14ac:dyDescent="0.75">
      <c r="A317" s="51">
        <v>43934</v>
      </c>
      <c r="B317" s="2">
        <v>4623.8940000000002</v>
      </c>
    </row>
    <row r="318" spans="1:2" x14ac:dyDescent="0.75">
      <c r="A318" s="51">
        <v>43935</v>
      </c>
      <c r="B318" s="2">
        <v>4706.491</v>
      </c>
    </row>
    <row r="319" spans="1:2" x14ac:dyDescent="0.75">
      <c r="A319" s="51">
        <v>43936</v>
      </c>
      <c r="B319" s="2">
        <v>4625.9049999999997</v>
      </c>
    </row>
    <row r="320" spans="1:2" x14ac:dyDescent="0.75">
      <c r="A320" s="51">
        <v>43937</v>
      </c>
      <c r="B320" s="2">
        <v>4480.607</v>
      </c>
    </row>
    <row r="321" spans="1:2" x14ac:dyDescent="0.75">
      <c r="A321" s="51">
        <v>43938</v>
      </c>
      <c r="B321" s="2">
        <v>4634.8209999999999</v>
      </c>
    </row>
    <row r="322" spans="1:2" x14ac:dyDescent="0.75">
      <c r="A322" s="51">
        <v>43941</v>
      </c>
      <c r="B322" s="2">
        <v>4575.9049999999997</v>
      </c>
    </row>
    <row r="323" spans="1:2" x14ac:dyDescent="0.75">
      <c r="A323" s="51">
        <v>43942</v>
      </c>
      <c r="B323" s="2">
        <v>4501.9189999999999</v>
      </c>
    </row>
    <row r="324" spans="1:2" x14ac:dyDescent="0.75">
      <c r="A324" s="51">
        <v>43943</v>
      </c>
      <c r="B324" s="2">
        <v>4567.5619999999999</v>
      </c>
    </row>
    <row r="325" spans="1:2" x14ac:dyDescent="0.75">
      <c r="A325" s="51">
        <v>43944</v>
      </c>
      <c r="B325" s="2">
        <v>4593.5540000000001</v>
      </c>
    </row>
    <row r="326" spans="1:2" x14ac:dyDescent="0.75">
      <c r="A326" s="51">
        <v>43945</v>
      </c>
      <c r="B326" s="2">
        <v>4496.0640000000003</v>
      </c>
    </row>
    <row r="327" spans="1:2" x14ac:dyDescent="0.75">
      <c r="A327" s="51">
        <v>43948</v>
      </c>
      <c r="B327" s="2">
        <v>4513.1409999999996</v>
      </c>
    </row>
    <row r="328" spans="1:2" x14ac:dyDescent="0.75">
      <c r="A328" s="51">
        <v>43949</v>
      </c>
      <c r="B328" s="2">
        <v>4529.5540000000001</v>
      </c>
    </row>
    <row r="329" spans="1:2" x14ac:dyDescent="0.75">
      <c r="A329" s="51">
        <v>43950</v>
      </c>
      <c r="B329" s="2">
        <v>4567.3230000000003</v>
      </c>
    </row>
    <row r="330" spans="1:2" x14ac:dyDescent="0.75">
      <c r="A330" s="51">
        <v>43951</v>
      </c>
      <c r="B330" s="2">
        <v>4716.4030000000002</v>
      </c>
    </row>
    <row r="331" spans="1:2" x14ac:dyDescent="0.75">
      <c r="A331" s="51">
        <v>43955</v>
      </c>
      <c r="B331" s="2">
        <v>4605.4870000000001</v>
      </c>
    </row>
    <row r="332" spans="1:2" x14ac:dyDescent="0.75">
      <c r="A332" s="51">
        <v>43956</v>
      </c>
      <c r="B332" s="2">
        <v>4630.1329999999998</v>
      </c>
    </row>
    <row r="333" spans="1:2" x14ac:dyDescent="0.75">
      <c r="A333" s="51">
        <v>43957</v>
      </c>
      <c r="B333" s="2">
        <v>4608.79</v>
      </c>
    </row>
    <row r="334" spans="1:2" x14ac:dyDescent="0.75">
      <c r="A334" s="51">
        <v>43959</v>
      </c>
      <c r="B334" s="2">
        <v>4597.43</v>
      </c>
    </row>
    <row r="335" spans="1:2" x14ac:dyDescent="0.75">
      <c r="A335" s="51">
        <v>43962</v>
      </c>
      <c r="B335" s="2">
        <v>4639.1049999999996</v>
      </c>
    </row>
    <row r="336" spans="1:2" x14ac:dyDescent="0.75">
      <c r="A336" s="51">
        <v>43963</v>
      </c>
      <c r="B336" s="2">
        <v>4588.7340000000004</v>
      </c>
    </row>
    <row r="337" spans="1:2" x14ac:dyDescent="0.75">
      <c r="A337" s="51">
        <v>43964</v>
      </c>
      <c r="B337" s="2">
        <v>4554.3590000000004</v>
      </c>
    </row>
    <row r="338" spans="1:2" x14ac:dyDescent="0.75">
      <c r="A338" s="51">
        <v>43965</v>
      </c>
      <c r="B338" s="2">
        <v>4513.8339999999998</v>
      </c>
    </row>
    <row r="339" spans="1:2" x14ac:dyDescent="0.75">
      <c r="A339" s="51">
        <v>43966</v>
      </c>
      <c r="B339" s="2">
        <v>4507.607</v>
      </c>
    </row>
    <row r="340" spans="1:2" x14ac:dyDescent="0.75">
      <c r="A340" s="51">
        <v>43969</v>
      </c>
      <c r="B340" s="2">
        <v>4511.058</v>
      </c>
    </row>
    <row r="341" spans="1:2" x14ac:dyDescent="0.75">
      <c r="A341" s="51">
        <v>43970</v>
      </c>
      <c r="B341" s="2">
        <v>4548.6559999999999</v>
      </c>
    </row>
    <row r="342" spans="1:2" x14ac:dyDescent="0.75">
      <c r="A342" s="51">
        <v>43971</v>
      </c>
      <c r="B342" s="2">
        <v>4545.9520000000002</v>
      </c>
    </row>
    <row r="343" spans="1:2" x14ac:dyDescent="0.75">
      <c r="A343" s="51">
        <v>43977</v>
      </c>
      <c r="B343" s="2">
        <v>4626.799</v>
      </c>
    </row>
    <row r="344" spans="1:2" x14ac:dyDescent="0.75">
      <c r="A344" s="51">
        <v>43978</v>
      </c>
      <c r="B344" s="2">
        <v>4641.5550000000003</v>
      </c>
    </row>
    <row r="345" spans="1:2" x14ac:dyDescent="0.75">
      <c r="A345" s="51">
        <v>43979</v>
      </c>
      <c r="B345" s="2">
        <v>4716.1850000000004</v>
      </c>
    </row>
    <row r="346" spans="1:2" x14ac:dyDescent="0.75">
      <c r="A346" s="51">
        <v>43980</v>
      </c>
      <c r="B346" s="2">
        <v>4753.6120000000001</v>
      </c>
    </row>
    <row r="347" spans="1:2" x14ac:dyDescent="0.75">
      <c r="A347" s="51">
        <v>43984</v>
      </c>
      <c r="B347" s="2">
        <v>4847.5069999999996</v>
      </c>
    </row>
    <row r="348" spans="1:2" x14ac:dyDescent="0.75">
      <c r="A348" s="51">
        <v>43985</v>
      </c>
      <c r="B348" s="2">
        <v>4941.0060000000003</v>
      </c>
    </row>
    <row r="349" spans="1:2" x14ac:dyDescent="0.75">
      <c r="A349" s="51">
        <v>43986</v>
      </c>
      <c r="B349" s="2">
        <v>4916.7039999999997</v>
      </c>
    </row>
    <row r="350" spans="1:2" x14ac:dyDescent="0.75">
      <c r="A350" s="51">
        <v>43987</v>
      </c>
      <c r="B350" s="2">
        <v>4947.7820000000002</v>
      </c>
    </row>
    <row r="351" spans="1:2" x14ac:dyDescent="0.75">
      <c r="A351" s="51">
        <v>43990</v>
      </c>
      <c r="B351" s="2">
        <v>5070.5609999999997</v>
      </c>
    </row>
    <row r="352" spans="1:2" x14ac:dyDescent="0.75">
      <c r="A352" s="51">
        <v>43991</v>
      </c>
      <c r="B352" s="2">
        <v>5035.0550000000003</v>
      </c>
    </row>
    <row r="353" spans="1:2" x14ac:dyDescent="0.75">
      <c r="A353" s="51">
        <v>43992</v>
      </c>
      <c r="B353" s="2">
        <v>4920.6819999999998</v>
      </c>
    </row>
    <row r="354" spans="1:2" x14ac:dyDescent="0.75">
      <c r="A354" s="51">
        <v>43993</v>
      </c>
      <c r="B354" s="2">
        <v>4854.7539999999999</v>
      </c>
    </row>
    <row r="355" spans="1:2" x14ac:dyDescent="0.75">
      <c r="A355" s="51">
        <v>43994</v>
      </c>
      <c r="B355" s="2">
        <v>4880.3590000000004</v>
      </c>
    </row>
    <row r="356" spans="1:2" x14ac:dyDescent="0.75">
      <c r="A356" s="51">
        <v>43997</v>
      </c>
      <c r="B356" s="2">
        <v>4816.3360000000002</v>
      </c>
    </row>
    <row r="357" spans="1:2" x14ac:dyDescent="0.75">
      <c r="A357" s="51">
        <v>43998</v>
      </c>
      <c r="B357" s="2">
        <v>4986.4579999999996</v>
      </c>
    </row>
    <row r="358" spans="1:2" x14ac:dyDescent="0.75">
      <c r="A358" s="51">
        <v>43999</v>
      </c>
      <c r="B358" s="2">
        <v>4987.7759999999998</v>
      </c>
    </row>
    <row r="359" spans="1:2" x14ac:dyDescent="0.75">
      <c r="A359" s="51">
        <v>44000</v>
      </c>
      <c r="B359" s="2">
        <v>4925.2479999999996</v>
      </c>
    </row>
    <row r="360" spans="1:2" x14ac:dyDescent="0.75">
      <c r="A360" s="51">
        <v>44001</v>
      </c>
      <c r="B360" s="2">
        <v>4942.2749999999996</v>
      </c>
    </row>
    <row r="361" spans="1:2" x14ac:dyDescent="0.75">
      <c r="A361" s="51">
        <v>44004</v>
      </c>
      <c r="B361" s="2">
        <v>4918.8310000000001</v>
      </c>
    </row>
    <row r="362" spans="1:2" x14ac:dyDescent="0.75">
      <c r="A362" s="51">
        <v>44005</v>
      </c>
      <c r="B362" s="2">
        <v>4879.1329999999998</v>
      </c>
    </row>
    <row r="363" spans="1:2" x14ac:dyDescent="0.75">
      <c r="A363" s="51">
        <v>44006</v>
      </c>
      <c r="B363" s="2">
        <v>4964.7349999999997</v>
      </c>
    </row>
    <row r="364" spans="1:2" x14ac:dyDescent="0.75">
      <c r="A364" s="51">
        <v>44007</v>
      </c>
      <c r="B364" s="2">
        <v>4896.7299999999996</v>
      </c>
    </row>
    <row r="365" spans="1:2" x14ac:dyDescent="0.75">
      <c r="A365" s="51">
        <v>44008</v>
      </c>
      <c r="B365" s="2">
        <v>4904.0879999999997</v>
      </c>
    </row>
    <row r="366" spans="1:2" x14ac:dyDescent="0.75">
      <c r="A366" s="51">
        <v>44011</v>
      </c>
      <c r="B366" s="2">
        <v>4901.8180000000002</v>
      </c>
    </row>
    <row r="367" spans="1:2" x14ac:dyDescent="0.75">
      <c r="A367" s="51">
        <v>44012</v>
      </c>
      <c r="B367" s="2">
        <v>4905.3919999999998</v>
      </c>
    </row>
    <row r="368" spans="1:2" x14ac:dyDescent="0.75">
      <c r="A368" s="51">
        <v>44013</v>
      </c>
      <c r="B368" s="2">
        <v>4914.3879999999999</v>
      </c>
    </row>
    <row r="369" spans="1:2" x14ac:dyDescent="0.75">
      <c r="A369" s="51">
        <v>44014</v>
      </c>
      <c r="B369" s="2">
        <v>4966.78</v>
      </c>
    </row>
    <row r="370" spans="1:2" x14ac:dyDescent="0.75">
      <c r="A370" s="51">
        <v>44015</v>
      </c>
      <c r="B370" s="2">
        <v>4973.7939999999999</v>
      </c>
    </row>
    <row r="371" spans="1:2" x14ac:dyDescent="0.75">
      <c r="A371" s="51">
        <v>44018</v>
      </c>
      <c r="B371" s="2">
        <v>4988.866</v>
      </c>
    </row>
    <row r="372" spans="1:2" x14ac:dyDescent="0.75">
      <c r="A372" s="51">
        <v>44019</v>
      </c>
      <c r="B372" s="2">
        <v>4987.0820000000003</v>
      </c>
    </row>
    <row r="373" spans="1:2" x14ac:dyDescent="0.75">
      <c r="A373" s="51">
        <v>44020</v>
      </c>
      <c r="B373" s="2">
        <v>5076.174</v>
      </c>
    </row>
    <row r="374" spans="1:2" x14ac:dyDescent="0.75">
      <c r="A374" s="51">
        <v>44021</v>
      </c>
      <c r="B374" s="2">
        <v>5052.7939999999999</v>
      </c>
    </row>
    <row r="375" spans="1:2" x14ac:dyDescent="0.75">
      <c r="A375" s="51">
        <v>44022</v>
      </c>
      <c r="B375" s="2">
        <v>5031.2560000000003</v>
      </c>
    </row>
    <row r="376" spans="1:2" x14ac:dyDescent="0.75">
      <c r="A376" s="51">
        <v>44025</v>
      </c>
      <c r="B376" s="2">
        <v>5064.4470000000001</v>
      </c>
    </row>
    <row r="377" spans="1:2" x14ac:dyDescent="0.75">
      <c r="A377" s="51">
        <v>44026</v>
      </c>
      <c r="B377" s="2">
        <v>5079.1220000000003</v>
      </c>
    </row>
    <row r="378" spans="1:2" x14ac:dyDescent="0.75">
      <c r="A378" s="51">
        <v>44027</v>
      </c>
      <c r="B378" s="2">
        <v>5075.7979999999998</v>
      </c>
    </row>
    <row r="379" spans="1:2" x14ac:dyDescent="0.75">
      <c r="A379" s="51">
        <v>44028</v>
      </c>
      <c r="B379" s="2">
        <v>5098.3739999999998</v>
      </c>
    </row>
    <row r="380" spans="1:2" x14ac:dyDescent="0.75">
      <c r="A380" s="51">
        <v>44029</v>
      </c>
      <c r="B380" s="2">
        <v>5079.585</v>
      </c>
    </row>
    <row r="381" spans="1:2" x14ac:dyDescent="0.75">
      <c r="A381" s="51">
        <v>44032</v>
      </c>
      <c r="B381" s="2">
        <v>5051.1059999999998</v>
      </c>
    </row>
    <row r="382" spans="1:2" x14ac:dyDescent="0.75">
      <c r="A382" s="51">
        <v>44033</v>
      </c>
      <c r="B382" s="2">
        <v>5114.7089999999998</v>
      </c>
    </row>
    <row r="383" spans="1:2" x14ac:dyDescent="0.75">
      <c r="A383" s="51">
        <v>44034</v>
      </c>
      <c r="B383" s="2">
        <v>5110.1869999999999</v>
      </c>
    </row>
    <row r="384" spans="1:2" x14ac:dyDescent="0.75">
      <c r="A384" s="51">
        <v>44035</v>
      </c>
      <c r="B384" s="2">
        <v>5145.0110000000004</v>
      </c>
    </row>
    <row r="385" spans="1:2" x14ac:dyDescent="0.75">
      <c r="A385" s="51">
        <v>44036</v>
      </c>
      <c r="B385" s="2">
        <v>5082.991</v>
      </c>
    </row>
    <row r="386" spans="1:2" x14ac:dyDescent="0.75">
      <c r="A386" s="51">
        <v>44039</v>
      </c>
      <c r="B386" s="2">
        <v>5116.6660000000002</v>
      </c>
    </row>
    <row r="387" spans="1:2" x14ac:dyDescent="0.75">
      <c r="A387" s="51">
        <v>44040</v>
      </c>
      <c r="B387" s="2">
        <v>5112.9889999999996</v>
      </c>
    </row>
    <row r="388" spans="1:2" x14ac:dyDescent="0.75">
      <c r="A388" s="51">
        <v>44041</v>
      </c>
      <c r="B388" s="2">
        <v>5111.1130000000003</v>
      </c>
    </row>
    <row r="389" spans="1:2" x14ac:dyDescent="0.75">
      <c r="A389" s="51">
        <v>44042</v>
      </c>
      <c r="B389" s="2">
        <v>5149.6270000000004</v>
      </c>
    </row>
    <row r="390" spans="1:2" x14ac:dyDescent="0.75">
      <c r="A390" s="51">
        <v>44046</v>
      </c>
      <c r="B390" s="2">
        <v>5006.223</v>
      </c>
    </row>
    <row r="391" spans="1:2" x14ac:dyDescent="0.75">
      <c r="A391" s="51">
        <v>44047</v>
      </c>
      <c r="B391" s="2">
        <v>5075.0020000000004</v>
      </c>
    </row>
    <row r="392" spans="1:2" x14ac:dyDescent="0.75">
      <c r="A392" s="51">
        <v>44048</v>
      </c>
      <c r="B392" s="2">
        <v>5127.0510000000004</v>
      </c>
    </row>
    <row r="393" spans="1:2" x14ac:dyDescent="0.75">
      <c r="A393" s="51">
        <v>44049</v>
      </c>
      <c r="B393" s="2">
        <v>5178.2719999999999</v>
      </c>
    </row>
    <row r="394" spans="1:2" x14ac:dyDescent="0.75">
      <c r="A394" s="51">
        <v>44050</v>
      </c>
      <c r="B394" s="2">
        <v>5143.893</v>
      </c>
    </row>
    <row r="395" spans="1:2" x14ac:dyDescent="0.75">
      <c r="A395" s="51">
        <v>44053</v>
      </c>
      <c r="B395" s="2">
        <v>5157.8339999999998</v>
      </c>
    </row>
    <row r="396" spans="1:2" x14ac:dyDescent="0.75">
      <c r="A396" s="51">
        <v>44054</v>
      </c>
      <c r="B396" s="2">
        <v>5190.1660000000002</v>
      </c>
    </row>
    <row r="397" spans="1:2" x14ac:dyDescent="0.75">
      <c r="A397" s="51">
        <v>44055</v>
      </c>
      <c r="B397" s="2">
        <v>5233.4520000000002</v>
      </c>
    </row>
    <row r="398" spans="1:2" x14ac:dyDescent="0.75">
      <c r="A398" s="51">
        <v>44056</v>
      </c>
      <c r="B398" s="2">
        <v>5239.25</v>
      </c>
    </row>
    <row r="399" spans="1:2" x14ac:dyDescent="0.75">
      <c r="A399" s="51">
        <v>44057</v>
      </c>
      <c r="B399" s="2">
        <v>5247.69</v>
      </c>
    </row>
    <row r="400" spans="1:2" x14ac:dyDescent="0.75">
      <c r="A400" s="51">
        <v>44061</v>
      </c>
      <c r="B400" s="2">
        <v>5295.174</v>
      </c>
    </row>
    <row r="401" spans="1:2" x14ac:dyDescent="0.75">
      <c r="A401" s="51">
        <v>44062</v>
      </c>
      <c r="B401" s="2">
        <v>5272.81</v>
      </c>
    </row>
    <row r="402" spans="1:2" x14ac:dyDescent="0.75">
      <c r="A402" s="51">
        <v>44067</v>
      </c>
      <c r="B402" s="2">
        <v>5277.0410000000002</v>
      </c>
    </row>
    <row r="403" spans="1:2" x14ac:dyDescent="0.75">
      <c r="A403" s="51">
        <v>44068</v>
      </c>
      <c r="B403" s="2">
        <v>5338.8879999999999</v>
      </c>
    </row>
    <row r="404" spans="1:2" x14ac:dyDescent="0.75">
      <c r="A404" s="51">
        <v>44069</v>
      </c>
      <c r="B404" s="2">
        <v>5340.3280000000004</v>
      </c>
    </row>
    <row r="405" spans="1:2" x14ac:dyDescent="0.75">
      <c r="A405" s="51">
        <v>44070</v>
      </c>
      <c r="B405" s="2">
        <v>5371.4719999999998</v>
      </c>
    </row>
    <row r="406" spans="1:2" x14ac:dyDescent="0.75">
      <c r="A406" s="51">
        <v>44071</v>
      </c>
      <c r="B406" s="2">
        <v>5346.6589999999997</v>
      </c>
    </row>
    <row r="407" spans="1:2" x14ac:dyDescent="0.75">
      <c r="A407" s="51">
        <v>44074</v>
      </c>
      <c r="B407" s="2">
        <v>5238.4870000000001</v>
      </c>
    </row>
    <row r="408" spans="1:2" x14ac:dyDescent="0.75">
      <c r="A408" s="51">
        <v>44075</v>
      </c>
      <c r="B408" s="2">
        <v>5310.6790000000001</v>
      </c>
    </row>
    <row r="409" spans="1:2" x14ac:dyDescent="0.75">
      <c r="A409" s="51">
        <v>44076</v>
      </c>
      <c r="B409" s="2">
        <v>5311.97</v>
      </c>
    </row>
    <row r="410" spans="1:2" x14ac:dyDescent="0.75">
      <c r="A410" s="51">
        <v>44077</v>
      </c>
      <c r="B410" s="2">
        <v>5280.8130000000001</v>
      </c>
    </row>
    <row r="411" spans="1:2" x14ac:dyDescent="0.75">
      <c r="A411" s="51">
        <v>44078</v>
      </c>
      <c r="B411" s="2">
        <v>5239.8509999999997</v>
      </c>
    </row>
    <row r="412" spans="1:2" x14ac:dyDescent="0.75">
      <c r="A412" s="51">
        <v>44081</v>
      </c>
      <c r="B412" s="2">
        <v>5230.1959999999999</v>
      </c>
    </row>
    <row r="413" spans="1:2" x14ac:dyDescent="0.75">
      <c r="A413" s="51">
        <v>44082</v>
      </c>
      <c r="B413" s="2">
        <v>5244.0720000000001</v>
      </c>
    </row>
    <row r="414" spans="1:2" x14ac:dyDescent="0.75">
      <c r="A414" s="51">
        <v>44083</v>
      </c>
      <c r="B414" s="2">
        <v>5149.3760000000002</v>
      </c>
    </row>
    <row r="415" spans="1:2" x14ac:dyDescent="0.75">
      <c r="A415" s="51">
        <v>44084</v>
      </c>
      <c r="B415" s="2">
        <v>4891.4610000000002</v>
      </c>
    </row>
    <row r="416" spans="1:2" x14ac:dyDescent="0.75">
      <c r="A416" s="51">
        <v>44085</v>
      </c>
      <c r="B416" s="2">
        <v>5016.7120000000004</v>
      </c>
    </row>
    <row r="417" spans="1:2" x14ac:dyDescent="0.75">
      <c r="A417" s="51">
        <v>44088</v>
      </c>
      <c r="B417" s="2">
        <v>5161.8280000000004</v>
      </c>
    </row>
    <row r="418" spans="1:2" x14ac:dyDescent="0.75">
      <c r="A418" s="51">
        <v>44089</v>
      </c>
      <c r="B418" s="2">
        <v>5100.8649999999998</v>
      </c>
    </row>
    <row r="419" spans="1:2" x14ac:dyDescent="0.75">
      <c r="A419" s="51">
        <v>44090</v>
      </c>
      <c r="B419" s="2">
        <v>5058.482</v>
      </c>
    </row>
    <row r="420" spans="1:2" x14ac:dyDescent="0.75">
      <c r="A420" s="51">
        <v>44091</v>
      </c>
      <c r="B420" s="2">
        <v>5038.4009999999998</v>
      </c>
    </row>
    <row r="421" spans="1:2" x14ac:dyDescent="0.75">
      <c r="A421" s="51">
        <v>44092</v>
      </c>
      <c r="B421" s="2">
        <v>5059.223</v>
      </c>
    </row>
    <row r="422" spans="1:2" x14ac:dyDescent="0.75">
      <c r="A422" s="51">
        <v>44095</v>
      </c>
      <c r="B422" s="2">
        <v>4999.3599999999997</v>
      </c>
    </row>
    <row r="423" spans="1:2" x14ac:dyDescent="0.75">
      <c r="A423" s="51">
        <v>44096</v>
      </c>
      <c r="B423" s="2">
        <v>4934.0929999999998</v>
      </c>
    </row>
    <row r="424" spans="1:2" x14ac:dyDescent="0.75">
      <c r="A424" s="51">
        <v>44097</v>
      </c>
      <c r="B424" s="2">
        <v>4917.9549999999999</v>
      </c>
    </row>
    <row r="425" spans="1:2" x14ac:dyDescent="0.75">
      <c r="A425" s="51">
        <v>44098</v>
      </c>
      <c r="B425" s="2">
        <v>4842.7560000000003</v>
      </c>
    </row>
    <row r="426" spans="1:2" x14ac:dyDescent="0.75">
      <c r="A426" s="51">
        <v>44099</v>
      </c>
      <c r="B426" s="2">
        <v>4945.7910000000002</v>
      </c>
    </row>
    <row r="427" spans="1:2" x14ac:dyDescent="0.75">
      <c r="A427" s="51">
        <v>44102</v>
      </c>
      <c r="B427" s="2">
        <v>4906.5479999999998</v>
      </c>
    </row>
    <row r="428" spans="1:2" x14ac:dyDescent="0.75">
      <c r="A428" s="51">
        <v>44103</v>
      </c>
      <c r="B428" s="2">
        <v>4879.098</v>
      </c>
    </row>
    <row r="429" spans="1:2" x14ac:dyDescent="0.75">
      <c r="A429" s="51">
        <v>44104</v>
      </c>
      <c r="B429" s="2">
        <v>4870.0389999999998</v>
      </c>
    </row>
    <row r="430" spans="1:2" x14ac:dyDescent="0.75">
      <c r="A430" s="51">
        <v>44105</v>
      </c>
      <c r="B430" s="2">
        <v>4970.0940000000001</v>
      </c>
    </row>
    <row r="431" spans="1:2" x14ac:dyDescent="0.75">
      <c r="A431" s="51">
        <v>44106</v>
      </c>
      <c r="B431" s="2">
        <v>4926.7340000000004</v>
      </c>
    </row>
    <row r="432" spans="1:2" x14ac:dyDescent="0.75">
      <c r="A432" s="51">
        <v>44109</v>
      </c>
      <c r="B432" s="2">
        <v>4958.7690000000002</v>
      </c>
    </row>
    <row r="433" spans="1:2" x14ac:dyDescent="0.75">
      <c r="A433" s="51">
        <v>44110</v>
      </c>
      <c r="B433" s="2">
        <v>4999.2209999999995</v>
      </c>
    </row>
    <row r="434" spans="1:2" x14ac:dyDescent="0.75">
      <c r="A434" s="51">
        <v>44111</v>
      </c>
      <c r="B434" s="2">
        <v>5004.3270000000002</v>
      </c>
    </row>
    <row r="435" spans="1:2" x14ac:dyDescent="0.75">
      <c r="A435" s="51">
        <v>44112</v>
      </c>
      <c r="B435" s="2">
        <v>5039.1419999999998</v>
      </c>
    </row>
    <row r="436" spans="1:2" x14ac:dyDescent="0.75">
      <c r="A436" s="51">
        <v>44113</v>
      </c>
      <c r="B436" s="2">
        <v>5053.6629999999996</v>
      </c>
    </row>
    <row r="437" spans="1:2" x14ac:dyDescent="0.75">
      <c r="A437" s="51">
        <v>44116</v>
      </c>
      <c r="B437" s="2">
        <v>5093.0990000000002</v>
      </c>
    </row>
    <row r="438" spans="1:2" x14ac:dyDescent="0.75">
      <c r="A438" s="51">
        <v>44117</v>
      </c>
      <c r="B438" s="2">
        <v>5132.5720000000001</v>
      </c>
    </row>
    <row r="439" spans="1:2" x14ac:dyDescent="0.75">
      <c r="A439" s="51">
        <v>44118</v>
      </c>
      <c r="B439" s="2">
        <v>5176.0990000000002</v>
      </c>
    </row>
    <row r="440" spans="1:2" x14ac:dyDescent="0.75">
      <c r="A440" s="51">
        <v>44119</v>
      </c>
      <c r="B440" s="2">
        <v>5105.1499999999996</v>
      </c>
    </row>
    <row r="441" spans="1:2" x14ac:dyDescent="0.75">
      <c r="A441" s="51">
        <v>44120</v>
      </c>
      <c r="B441" s="2">
        <v>5103.4139999999998</v>
      </c>
    </row>
    <row r="442" spans="1:2" x14ac:dyDescent="0.75">
      <c r="A442" s="51">
        <v>44123</v>
      </c>
      <c r="B442" s="2">
        <v>5126.33</v>
      </c>
    </row>
    <row r="443" spans="1:2" x14ac:dyDescent="0.75">
      <c r="A443" s="51">
        <v>44124</v>
      </c>
      <c r="B443" s="2">
        <v>5099.84</v>
      </c>
    </row>
    <row r="444" spans="1:2" x14ac:dyDescent="0.75">
      <c r="A444" s="51">
        <v>44125</v>
      </c>
      <c r="B444" s="2">
        <v>5096.4459999999999</v>
      </c>
    </row>
    <row r="445" spans="1:2" x14ac:dyDescent="0.75">
      <c r="A445" s="51">
        <v>44126</v>
      </c>
      <c r="B445" s="2">
        <v>5091.8159999999998</v>
      </c>
    </row>
    <row r="446" spans="1:2" x14ac:dyDescent="0.75">
      <c r="A446" s="51">
        <v>44127</v>
      </c>
      <c r="B446" s="2">
        <v>5112.1880000000001</v>
      </c>
    </row>
    <row r="447" spans="1:2" x14ac:dyDescent="0.75">
      <c r="A447" s="51">
        <v>44130</v>
      </c>
      <c r="B447" s="2">
        <v>5144.049</v>
      </c>
    </row>
    <row r="448" spans="1:2" x14ac:dyDescent="0.75">
      <c r="A448" s="51">
        <v>44131</v>
      </c>
      <c r="B448" s="2">
        <v>5128.2250000000004</v>
      </c>
    </row>
    <row r="449" spans="1:2" x14ac:dyDescent="0.75">
      <c r="A449" s="51">
        <v>44137</v>
      </c>
      <c r="B449" s="2">
        <v>5115.1279999999997</v>
      </c>
    </row>
    <row r="450" spans="1:2" x14ac:dyDescent="0.75">
      <c r="A450" s="51">
        <v>44138</v>
      </c>
      <c r="B450" s="2">
        <v>5159.4520000000002</v>
      </c>
    </row>
    <row r="451" spans="1:2" x14ac:dyDescent="0.75">
      <c r="A451" s="51">
        <v>44139</v>
      </c>
      <c r="B451" s="2">
        <v>5105.1989999999996</v>
      </c>
    </row>
    <row r="452" spans="1:2" x14ac:dyDescent="0.75">
      <c r="A452" s="51">
        <v>44140</v>
      </c>
      <c r="B452" s="2">
        <v>5260.326</v>
      </c>
    </row>
    <row r="453" spans="1:2" x14ac:dyDescent="0.75">
      <c r="A453" s="51">
        <v>44141</v>
      </c>
      <c r="B453" s="2">
        <v>5335.5290000000005</v>
      </c>
    </row>
    <row r="454" spans="1:2" x14ac:dyDescent="0.75">
      <c r="A454" s="51">
        <v>44144</v>
      </c>
      <c r="B454" s="2">
        <v>5356.0050000000001</v>
      </c>
    </row>
    <row r="455" spans="1:2" x14ac:dyDescent="0.75">
      <c r="A455" s="51">
        <v>44145</v>
      </c>
      <c r="B455" s="2">
        <v>5462.7389999999996</v>
      </c>
    </row>
    <row r="456" spans="1:2" x14ac:dyDescent="0.75">
      <c r="A456" s="51">
        <v>44146</v>
      </c>
      <c r="B456" s="2">
        <v>5509.5129999999999</v>
      </c>
    </row>
    <row r="457" spans="1:2" x14ac:dyDescent="0.75">
      <c r="A457" s="51">
        <v>44147</v>
      </c>
      <c r="B457" s="2">
        <v>5458.6019999999999</v>
      </c>
    </row>
    <row r="458" spans="1:2" x14ac:dyDescent="0.75">
      <c r="A458" s="51">
        <v>44148</v>
      </c>
      <c r="B458" s="2">
        <v>5461.058</v>
      </c>
    </row>
    <row r="459" spans="1:2" x14ac:dyDescent="0.75">
      <c r="A459" s="51">
        <v>44151</v>
      </c>
      <c r="B459" s="2">
        <v>5494.8720000000003</v>
      </c>
    </row>
    <row r="460" spans="1:2" x14ac:dyDescent="0.75">
      <c r="A460" s="51">
        <v>44152</v>
      </c>
      <c r="B460" s="2">
        <v>5529.94</v>
      </c>
    </row>
    <row r="461" spans="1:2" x14ac:dyDescent="0.75">
      <c r="A461" s="51">
        <v>44153</v>
      </c>
      <c r="B461" s="2">
        <v>5557.518</v>
      </c>
    </row>
    <row r="462" spans="1:2" x14ac:dyDescent="0.75">
      <c r="A462" s="51">
        <v>44154</v>
      </c>
      <c r="B462" s="2">
        <v>5594.0590000000002</v>
      </c>
    </row>
    <row r="463" spans="1:2" x14ac:dyDescent="0.75">
      <c r="A463" s="51">
        <v>44155</v>
      </c>
      <c r="B463" s="2">
        <v>5571.6559999999999</v>
      </c>
    </row>
    <row r="464" spans="1:2" x14ac:dyDescent="0.75">
      <c r="A464" s="51">
        <v>44158</v>
      </c>
      <c r="B464" s="2">
        <v>5652.7640000000001</v>
      </c>
    </row>
    <row r="465" spans="1:2" x14ac:dyDescent="0.75">
      <c r="A465" s="51">
        <v>44159</v>
      </c>
      <c r="B465" s="2">
        <v>5701.0290000000005</v>
      </c>
    </row>
    <row r="466" spans="1:2" x14ac:dyDescent="0.75">
      <c r="A466" s="51">
        <v>44160</v>
      </c>
      <c r="B466" s="2">
        <v>5679.2470000000003</v>
      </c>
    </row>
    <row r="467" spans="1:2" x14ac:dyDescent="0.75">
      <c r="A467" s="51">
        <v>44161</v>
      </c>
      <c r="B467" s="2">
        <v>5759.9160000000002</v>
      </c>
    </row>
    <row r="468" spans="1:2" x14ac:dyDescent="0.75">
      <c r="A468" s="51">
        <v>44162</v>
      </c>
      <c r="B468" s="2">
        <v>5783.335</v>
      </c>
    </row>
    <row r="469" spans="1:2" x14ac:dyDescent="0.75">
      <c r="A469" s="51">
        <v>44165</v>
      </c>
      <c r="B469" s="2">
        <v>5612.415</v>
      </c>
    </row>
    <row r="470" spans="1:2" x14ac:dyDescent="0.75">
      <c r="A470" s="51">
        <v>44166</v>
      </c>
      <c r="B470" s="2">
        <v>5724.7420000000002</v>
      </c>
    </row>
    <row r="471" spans="1:2" x14ac:dyDescent="0.75">
      <c r="A471" s="51">
        <v>44167</v>
      </c>
      <c r="B471" s="2">
        <v>5813.9870000000001</v>
      </c>
    </row>
    <row r="472" spans="1:2" x14ac:dyDescent="0.75">
      <c r="A472" s="51">
        <v>44168</v>
      </c>
      <c r="B472" s="2">
        <v>5822.942</v>
      </c>
    </row>
    <row r="473" spans="1:2" x14ac:dyDescent="0.75">
      <c r="A473" s="51">
        <v>44169</v>
      </c>
      <c r="B473" s="2">
        <v>5810.4830000000002</v>
      </c>
    </row>
    <row r="474" spans="1:2" x14ac:dyDescent="0.75">
      <c r="A474" s="51">
        <v>44172</v>
      </c>
      <c r="B474" s="2">
        <v>5930.759</v>
      </c>
    </row>
    <row r="475" spans="1:2" x14ac:dyDescent="0.75">
      <c r="A475" s="51">
        <v>44173</v>
      </c>
      <c r="B475" s="2">
        <v>5944.4089999999997</v>
      </c>
    </row>
    <row r="476" spans="1:2" x14ac:dyDescent="0.75">
      <c r="A476" s="51">
        <v>44175</v>
      </c>
      <c r="B476" s="2">
        <v>5933.6980000000003</v>
      </c>
    </row>
    <row r="477" spans="1:2" x14ac:dyDescent="0.75">
      <c r="A477" s="51">
        <v>44176</v>
      </c>
      <c r="B477" s="2">
        <v>5938.3289999999997</v>
      </c>
    </row>
    <row r="478" spans="1:2" x14ac:dyDescent="0.75">
      <c r="A478" s="51">
        <v>44179</v>
      </c>
      <c r="B478" s="2">
        <v>6012.5159999999996</v>
      </c>
    </row>
    <row r="479" spans="1:2" x14ac:dyDescent="0.75">
      <c r="A479" s="51">
        <v>44180</v>
      </c>
      <c r="B479" s="2">
        <v>6010.1279999999997</v>
      </c>
    </row>
    <row r="480" spans="1:2" x14ac:dyDescent="0.75">
      <c r="A480" s="51">
        <v>44181</v>
      </c>
      <c r="B480" s="2">
        <v>6118.402</v>
      </c>
    </row>
    <row r="481" spans="1:2" x14ac:dyDescent="0.75">
      <c r="A481" s="51">
        <v>44182</v>
      </c>
      <c r="B481" s="2">
        <v>6113.3819999999996</v>
      </c>
    </row>
    <row r="482" spans="1:2" x14ac:dyDescent="0.75">
      <c r="A482" s="51">
        <v>44183</v>
      </c>
      <c r="B482" s="2">
        <v>6104.3239999999996</v>
      </c>
    </row>
    <row r="483" spans="1:2" x14ac:dyDescent="0.75">
      <c r="A483" s="51">
        <v>44186</v>
      </c>
      <c r="B483" s="2">
        <v>6165.6239999999998</v>
      </c>
    </row>
    <row r="484" spans="1:2" x14ac:dyDescent="0.75">
      <c r="A484" s="51">
        <v>44187</v>
      </c>
      <c r="B484" s="2">
        <v>6023.2889999999998</v>
      </c>
    </row>
    <row r="485" spans="1:2" x14ac:dyDescent="0.75">
      <c r="A485" s="51">
        <v>44188</v>
      </c>
      <c r="B485" s="2">
        <v>6008.7089999999998</v>
      </c>
    </row>
    <row r="486" spans="1:2" x14ac:dyDescent="0.75">
      <c r="A486" s="51">
        <v>44193</v>
      </c>
      <c r="B486" s="2">
        <v>6093.5540000000001</v>
      </c>
    </row>
    <row r="487" spans="1:2" x14ac:dyDescent="0.75">
      <c r="A487" s="51">
        <v>44194</v>
      </c>
      <c r="B487" s="2">
        <v>6036.174</v>
      </c>
    </row>
    <row r="488" spans="1:2" x14ac:dyDescent="0.75">
      <c r="A488" s="51">
        <v>44195</v>
      </c>
      <c r="B488" s="2">
        <v>5979.0730000000003</v>
      </c>
    </row>
    <row r="489" spans="1:2" x14ac:dyDescent="0.75">
      <c r="A489" s="51">
        <v>44200</v>
      </c>
      <c r="B489" s="2">
        <v>6104.8980000000001</v>
      </c>
    </row>
    <row r="490" spans="1:2" x14ac:dyDescent="0.75">
      <c r="A490" s="51">
        <v>44201</v>
      </c>
      <c r="B490" s="2">
        <v>6137.3429999999998</v>
      </c>
    </row>
    <row r="491" spans="1:2" x14ac:dyDescent="0.75">
      <c r="A491" s="51">
        <v>44202</v>
      </c>
      <c r="B491" s="2">
        <v>6065.6819999999998</v>
      </c>
    </row>
    <row r="492" spans="1:2" x14ac:dyDescent="0.75">
      <c r="A492" s="51">
        <v>44203</v>
      </c>
      <c r="B492" s="2">
        <v>6153.6329999999998</v>
      </c>
    </row>
    <row r="493" spans="1:2" x14ac:dyDescent="0.75">
      <c r="A493" s="51">
        <v>44204</v>
      </c>
      <c r="B493" s="2">
        <v>6257.835</v>
      </c>
    </row>
    <row r="494" spans="1:2" x14ac:dyDescent="0.75">
      <c r="A494" s="51">
        <v>44207</v>
      </c>
      <c r="B494" s="2">
        <v>6382.9369999999999</v>
      </c>
    </row>
    <row r="495" spans="1:2" x14ac:dyDescent="0.75">
      <c r="A495" s="51">
        <v>44208</v>
      </c>
      <c r="B495" s="2">
        <v>6395.6689999999999</v>
      </c>
    </row>
    <row r="496" spans="1:2" x14ac:dyDescent="0.75">
      <c r="A496" s="51">
        <v>44209</v>
      </c>
      <c r="B496" s="2">
        <v>6435.2049999999999</v>
      </c>
    </row>
    <row r="497" spans="1:2" x14ac:dyDescent="0.75">
      <c r="A497" s="51">
        <v>44210</v>
      </c>
      <c r="B497" s="2">
        <v>6428.3149999999996</v>
      </c>
    </row>
    <row r="498" spans="1:2" x14ac:dyDescent="0.75">
      <c r="A498" s="51">
        <v>44211</v>
      </c>
      <c r="B498" s="2">
        <v>6373.4120000000003</v>
      </c>
    </row>
    <row r="499" spans="1:2" x14ac:dyDescent="0.75">
      <c r="A499" s="51">
        <v>44214</v>
      </c>
      <c r="B499" s="2">
        <v>6389.8339999999998</v>
      </c>
    </row>
    <row r="500" spans="1:2" x14ac:dyDescent="0.75">
      <c r="A500" s="51">
        <v>44215</v>
      </c>
      <c r="B500" s="2">
        <v>6321.8559999999998</v>
      </c>
    </row>
    <row r="501" spans="1:2" x14ac:dyDescent="0.75">
      <c r="A501" s="51">
        <v>44216</v>
      </c>
      <c r="B501" s="2">
        <v>6429.7579999999998</v>
      </c>
    </row>
    <row r="502" spans="1:2" x14ac:dyDescent="0.75">
      <c r="A502" s="51">
        <v>44217</v>
      </c>
      <c r="B502" s="2">
        <v>6413.8919999999998</v>
      </c>
    </row>
    <row r="503" spans="1:2" x14ac:dyDescent="0.75">
      <c r="A503" s="51">
        <v>44218</v>
      </c>
      <c r="B503" s="2">
        <v>6307.1270000000004</v>
      </c>
    </row>
    <row r="504" spans="1:2" x14ac:dyDescent="0.75">
      <c r="A504" s="51">
        <v>44221</v>
      </c>
      <c r="B504" s="2">
        <v>6258.5720000000001</v>
      </c>
    </row>
    <row r="505" spans="1:2" x14ac:dyDescent="0.75">
      <c r="A505" s="51">
        <v>44222</v>
      </c>
      <c r="B505" s="2">
        <v>6140.1710000000003</v>
      </c>
    </row>
    <row r="506" spans="1:2" x14ac:dyDescent="0.75">
      <c r="A506" s="51">
        <v>44223</v>
      </c>
      <c r="B506" s="2">
        <v>6109.1679999999997</v>
      </c>
    </row>
    <row r="507" spans="1:2" x14ac:dyDescent="0.75">
      <c r="A507" s="51">
        <v>44224</v>
      </c>
      <c r="B507" s="2">
        <v>5979.3869999999997</v>
      </c>
    </row>
    <row r="508" spans="1:2" x14ac:dyDescent="0.75">
      <c r="A508" s="51">
        <v>44225</v>
      </c>
      <c r="B508" s="2">
        <v>5862.3519999999999</v>
      </c>
    </row>
    <row r="509" spans="1:2" x14ac:dyDescent="0.75">
      <c r="A509" s="51">
        <v>44228</v>
      </c>
      <c r="B509" s="2">
        <v>6067.5450000000001</v>
      </c>
    </row>
    <row r="510" spans="1:2" x14ac:dyDescent="0.75">
      <c r="A510" s="51">
        <v>44229</v>
      </c>
      <c r="B510" s="2">
        <v>6043.8410000000003</v>
      </c>
    </row>
    <row r="511" spans="1:2" x14ac:dyDescent="0.75">
      <c r="A511" s="51">
        <v>44230</v>
      </c>
      <c r="B511" s="2">
        <v>6077.7449999999999</v>
      </c>
    </row>
    <row r="512" spans="1:2" x14ac:dyDescent="0.75">
      <c r="A512" s="51">
        <v>44231</v>
      </c>
      <c r="B512" s="2">
        <v>6107.2160000000003</v>
      </c>
    </row>
    <row r="513" spans="1:2" x14ac:dyDescent="0.75">
      <c r="A513" s="51">
        <v>44232</v>
      </c>
      <c r="B513" s="2">
        <v>6151.7290000000003</v>
      </c>
    </row>
    <row r="514" spans="1:2" x14ac:dyDescent="0.75">
      <c r="A514" s="51">
        <v>44235</v>
      </c>
      <c r="B514" s="2">
        <v>6208.866</v>
      </c>
    </row>
    <row r="515" spans="1:2" x14ac:dyDescent="0.75">
      <c r="A515" s="51">
        <v>44236</v>
      </c>
      <c r="B515" s="2">
        <v>6181.6719999999996</v>
      </c>
    </row>
    <row r="516" spans="1:2" x14ac:dyDescent="0.75">
      <c r="A516" s="51">
        <v>44237</v>
      </c>
      <c r="B516" s="2">
        <v>6201.8280000000004</v>
      </c>
    </row>
    <row r="517" spans="1:2" x14ac:dyDescent="0.75">
      <c r="A517" s="51">
        <v>44238</v>
      </c>
      <c r="B517" s="2">
        <v>6222.5209999999997</v>
      </c>
    </row>
    <row r="518" spans="1:2" x14ac:dyDescent="0.75">
      <c r="A518" s="51">
        <v>44242</v>
      </c>
      <c r="B518" s="2">
        <v>6270.3239999999996</v>
      </c>
    </row>
    <row r="519" spans="1:2" x14ac:dyDescent="0.75">
      <c r="A519" s="51">
        <v>44243</v>
      </c>
      <c r="B519" s="2">
        <v>6292.3959999999997</v>
      </c>
    </row>
    <row r="520" spans="1:2" x14ac:dyDescent="0.75">
      <c r="A520" s="51">
        <v>44244</v>
      </c>
      <c r="B520" s="2">
        <v>6227.7280000000001</v>
      </c>
    </row>
    <row r="521" spans="1:2" x14ac:dyDescent="0.75">
      <c r="A521" s="51">
        <v>44245</v>
      </c>
      <c r="B521" s="2">
        <v>6200.308</v>
      </c>
    </row>
    <row r="522" spans="1:2" x14ac:dyDescent="0.75">
      <c r="A522" s="51">
        <v>44246</v>
      </c>
      <c r="B522" s="2">
        <v>6231.9319999999998</v>
      </c>
    </row>
    <row r="523" spans="1:2" x14ac:dyDescent="0.75">
      <c r="A523" s="51">
        <v>44249</v>
      </c>
      <c r="B523" s="2">
        <v>6255.3119999999999</v>
      </c>
    </row>
    <row r="524" spans="1:2" x14ac:dyDescent="0.75">
      <c r="A524" s="51">
        <v>44250</v>
      </c>
      <c r="B524" s="2">
        <v>6272.8069999999998</v>
      </c>
    </row>
    <row r="525" spans="1:2" x14ac:dyDescent="0.75">
      <c r="A525" s="51">
        <v>44251</v>
      </c>
      <c r="B525" s="2">
        <v>6251.0540000000001</v>
      </c>
    </row>
    <row r="526" spans="1:2" x14ac:dyDescent="0.75">
      <c r="A526" s="51">
        <v>44252</v>
      </c>
      <c r="B526" s="2">
        <v>6289.6459999999997</v>
      </c>
    </row>
    <row r="527" spans="1:2" x14ac:dyDescent="0.75">
      <c r="A527" s="51">
        <v>44253</v>
      </c>
      <c r="B527" s="2">
        <v>6241.7960000000003</v>
      </c>
    </row>
    <row r="528" spans="1:2" x14ac:dyDescent="0.75">
      <c r="A528" s="51">
        <v>44256</v>
      </c>
      <c r="B528" s="2">
        <v>6338.5129999999999</v>
      </c>
    </row>
    <row r="529" spans="1:2" x14ac:dyDescent="0.75">
      <c r="A529" s="51">
        <v>44257</v>
      </c>
      <c r="B529" s="2">
        <v>6359.2049999999999</v>
      </c>
    </row>
    <row r="530" spans="1:2" x14ac:dyDescent="0.75">
      <c r="A530" s="51">
        <v>44258</v>
      </c>
      <c r="B530" s="2">
        <v>6376.7569999999996</v>
      </c>
    </row>
    <row r="531" spans="1:2" x14ac:dyDescent="0.75">
      <c r="A531" s="51">
        <v>44259</v>
      </c>
      <c r="B531" s="2">
        <v>6290.799</v>
      </c>
    </row>
    <row r="532" spans="1:2" x14ac:dyDescent="0.75">
      <c r="A532" s="51">
        <v>44260</v>
      </c>
      <c r="B532" s="2">
        <v>6258.7489999999998</v>
      </c>
    </row>
    <row r="533" spans="1:2" x14ac:dyDescent="0.75">
      <c r="A533" s="51">
        <v>44263</v>
      </c>
      <c r="B533" s="2">
        <v>6248.4650000000001</v>
      </c>
    </row>
    <row r="534" spans="1:2" x14ac:dyDescent="0.75">
      <c r="A534" s="51">
        <v>44264</v>
      </c>
      <c r="B534" s="2">
        <v>6199.6469999999999</v>
      </c>
    </row>
    <row r="535" spans="1:2" x14ac:dyDescent="0.75">
      <c r="A535" s="51">
        <v>44265</v>
      </c>
      <c r="B535" s="2">
        <v>6264.6790000000001</v>
      </c>
    </row>
    <row r="536" spans="1:2" x14ac:dyDescent="0.75">
      <c r="A536" s="51">
        <v>44267</v>
      </c>
      <c r="B536" s="2">
        <v>6358.2089999999998</v>
      </c>
    </row>
    <row r="537" spans="1:2" x14ac:dyDescent="0.75">
      <c r="A537" s="51">
        <v>44270</v>
      </c>
      <c r="B537" s="2">
        <v>6324.259</v>
      </c>
    </row>
    <row r="538" spans="1:2" x14ac:dyDescent="0.75">
      <c r="A538" s="51">
        <v>44271</v>
      </c>
      <c r="B538" s="2">
        <v>6309.6989999999996</v>
      </c>
    </row>
    <row r="539" spans="1:2" x14ac:dyDescent="0.75">
      <c r="A539" s="51">
        <v>44272</v>
      </c>
      <c r="B539" s="2">
        <v>6277.2280000000001</v>
      </c>
    </row>
    <row r="540" spans="1:2" x14ac:dyDescent="0.75">
      <c r="A540" s="51">
        <v>44273</v>
      </c>
      <c r="B540" s="2">
        <v>6347.8289999999997</v>
      </c>
    </row>
    <row r="541" spans="1:2" x14ac:dyDescent="0.75">
      <c r="A541" s="51">
        <v>44274</v>
      </c>
      <c r="B541" s="2">
        <v>6356.16</v>
      </c>
    </row>
    <row r="542" spans="1:2" x14ac:dyDescent="0.75">
      <c r="A542" s="51">
        <v>44277</v>
      </c>
      <c r="B542" s="2">
        <v>6301.1310000000003</v>
      </c>
    </row>
    <row r="543" spans="1:2" x14ac:dyDescent="0.75">
      <c r="A543" s="51">
        <v>44278</v>
      </c>
      <c r="B543" s="2">
        <v>6252.7120000000004</v>
      </c>
    </row>
    <row r="544" spans="1:2" x14ac:dyDescent="0.75">
      <c r="A544" s="51">
        <v>44279</v>
      </c>
      <c r="B544" s="2">
        <v>6156.14</v>
      </c>
    </row>
    <row r="545" spans="1:2" x14ac:dyDescent="0.75">
      <c r="A545" s="51">
        <v>44280</v>
      </c>
      <c r="B545" s="2">
        <v>6122.8760000000002</v>
      </c>
    </row>
    <row r="546" spans="1:2" x14ac:dyDescent="0.75">
      <c r="A546" s="51">
        <v>44281</v>
      </c>
      <c r="B546" s="2">
        <v>6195.5619999999999</v>
      </c>
    </row>
    <row r="547" spans="1:2" x14ac:dyDescent="0.75">
      <c r="A547" s="51">
        <v>44284</v>
      </c>
      <c r="B547" s="2">
        <v>6166.8180000000002</v>
      </c>
    </row>
    <row r="548" spans="1:2" x14ac:dyDescent="0.75">
      <c r="A548" s="51">
        <v>44285</v>
      </c>
      <c r="B548" s="2">
        <v>6071.442</v>
      </c>
    </row>
    <row r="549" spans="1:2" x14ac:dyDescent="0.75">
      <c r="A549" s="51">
        <v>44286</v>
      </c>
      <c r="B549" s="2">
        <v>5985.5219999999999</v>
      </c>
    </row>
    <row r="550" spans="1:2" x14ac:dyDescent="0.75">
      <c r="A550" s="51">
        <v>44287</v>
      </c>
      <c r="B550" s="2">
        <v>6011.4560000000001</v>
      </c>
    </row>
    <row r="551" spans="1:2" x14ac:dyDescent="0.75">
      <c r="A551" s="51">
        <v>44291</v>
      </c>
      <c r="B551" s="2">
        <v>5970.2860000000001</v>
      </c>
    </row>
    <row r="552" spans="1:2" x14ac:dyDescent="0.75">
      <c r="A552" s="51">
        <v>44292</v>
      </c>
      <c r="B552" s="2">
        <v>6002.77</v>
      </c>
    </row>
    <row r="553" spans="1:2" x14ac:dyDescent="0.75">
      <c r="A553" s="51">
        <v>44293</v>
      </c>
      <c r="B553" s="2">
        <v>6036.616</v>
      </c>
    </row>
    <row r="554" spans="1:2" x14ac:dyDescent="0.75">
      <c r="A554" s="51">
        <v>44294</v>
      </c>
      <c r="B554" s="2">
        <v>6071.7240000000002</v>
      </c>
    </row>
    <row r="555" spans="1:2" x14ac:dyDescent="0.75">
      <c r="A555" s="51">
        <v>44295</v>
      </c>
      <c r="B555" s="2">
        <v>6070.2089999999998</v>
      </c>
    </row>
    <row r="556" spans="1:2" x14ac:dyDescent="0.75">
      <c r="A556" s="51">
        <v>44298</v>
      </c>
      <c r="B556" s="2">
        <v>5948.5690000000004</v>
      </c>
    </row>
    <row r="557" spans="1:2" x14ac:dyDescent="0.75">
      <c r="A557" s="51">
        <v>44299</v>
      </c>
      <c r="B557" s="2">
        <v>5927.4350000000004</v>
      </c>
    </row>
    <row r="558" spans="1:2" x14ac:dyDescent="0.75">
      <c r="A558" s="51">
        <v>44300</v>
      </c>
      <c r="B558" s="2">
        <v>6050.2759999999998</v>
      </c>
    </row>
    <row r="559" spans="1:2" x14ac:dyDescent="0.75">
      <c r="A559" s="51">
        <v>44301</v>
      </c>
      <c r="B559" s="2">
        <v>6079.5010000000002</v>
      </c>
    </row>
    <row r="560" spans="1:2" x14ac:dyDescent="0.75">
      <c r="A560" s="51">
        <v>44302</v>
      </c>
      <c r="B560" s="2">
        <v>6086.2579999999998</v>
      </c>
    </row>
    <row r="561" spans="1:2" x14ac:dyDescent="0.75">
      <c r="A561" s="51">
        <v>44305</v>
      </c>
      <c r="B561" s="2">
        <v>6052.54</v>
      </c>
    </row>
    <row r="562" spans="1:2" x14ac:dyDescent="0.75">
      <c r="A562" s="51">
        <v>44306</v>
      </c>
      <c r="B562" s="2">
        <v>6038.3220000000001</v>
      </c>
    </row>
    <row r="563" spans="1:2" x14ac:dyDescent="0.75">
      <c r="A563" s="51">
        <v>44307</v>
      </c>
      <c r="B563" s="2">
        <v>5993.2420000000002</v>
      </c>
    </row>
    <row r="564" spans="1:2" x14ac:dyDescent="0.75">
      <c r="A564" s="51">
        <v>44308</v>
      </c>
      <c r="B564" s="2">
        <v>5994.1840000000002</v>
      </c>
    </row>
    <row r="565" spans="1:2" x14ac:dyDescent="0.75">
      <c r="A565" s="51">
        <v>44309</v>
      </c>
      <c r="B565" s="2">
        <v>6016.8639999999996</v>
      </c>
    </row>
    <row r="566" spans="1:2" x14ac:dyDescent="0.75">
      <c r="A566" s="51">
        <v>44312</v>
      </c>
      <c r="B566" s="2">
        <v>5964.8209999999999</v>
      </c>
    </row>
    <row r="567" spans="1:2" x14ac:dyDescent="0.75">
      <c r="A567" s="51">
        <v>44313</v>
      </c>
      <c r="B567" s="2">
        <v>5959.6210000000001</v>
      </c>
    </row>
    <row r="568" spans="1:2" x14ac:dyDescent="0.75">
      <c r="A568" s="51">
        <v>44314</v>
      </c>
      <c r="B568" s="2">
        <v>5974.4790000000003</v>
      </c>
    </row>
    <row r="569" spans="1:2" x14ac:dyDescent="0.75">
      <c r="A569" s="51">
        <v>44315</v>
      </c>
      <c r="B569" s="2">
        <v>6012.9610000000002</v>
      </c>
    </row>
    <row r="570" spans="1:2" x14ac:dyDescent="0.75">
      <c r="A570" s="51">
        <v>44316</v>
      </c>
      <c r="B570" s="2">
        <v>5995.616</v>
      </c>
    </row>
    <row r="571" spans="1:2" x14ac:dyDescent="0.75">
      <c r="A571" s="51">
        <v>44319</v>
      </c>
      <c r="B571" s="2">
        <v>5952.5969999999998</v>
      </c>
    </row>
    <row r="572" spans="1:2" x14ac:dyDescent="0.75">
      <c r="A572" s="51">
        <v>44320</v>
      </c>
      <c r="B572" s="2">
        <v>5963.82</v>
      </c>
    </row>
    <row r="573" spans="1:2" x14ac:dyDescent="0.75">
      <c r="A573" s="51">
        <v>44321</v>
      </c>
      <c r="B573" s="2">
        <v>5975.9110000000001</v>
      </c>
    </row>
    <row r="574" spans="1:2" x14ac:dyDescent="0.75">
      <c r="A574" s="51">
        <v>44322</v>
      </c>
      <c r="B574" s="2">
        <v>5970.24</v>
      </c>
    </row>
    <row r="575" spans="1:2" x14ac:dyDescent="0.75">
      <c r="A575" s="51">
        <v>44323</v>
      </c>
      <c r="B575" s="2">
        <v>5928.3090000000002</v>
      </c>
    </row>
    <row r="576" spans="1:2" x14ac:dyDescent="0.75">
      <c r="A576" s="51">
        <v>44326</v>
      </c>
      <c r="B576" s="2">
        <v>5975.7870000000003</v>
      </c>
    </row>
    <row r="577" spans="1:2" x14ac:dyDescent="0.75">
      <c r="A577" s="51">
        <v>44327</v>
      </c>
      <c r="B577" s="2">
        <v>5938.3509999999997</v>
      </c>
    </row>
    <row r="578" spans="1:2" x14ac:dyDescent="0.75">
      <c r="A578" s="51">
        <v>44333</v>
      </c>
      <c r="B578" s="2">
        <v>5833.86</v>
      </c>
    </row>
    <row r="579" spans="1:2" x14ac:dyDescent="0.75">
      <c r="A579" s="51">
        <v>44334</v>
      </c>
      <c r="B579" s="2">
        <v>5834.3940000000002</v>
      </c>
    </row>
    <row r="580" spans="1:2" x14ac:dyDescent="0.75">
      <c r="A580" s="51">
        <v>44335</v>
      </c>
      <c r="B580" s="2">
        <v>5760.5839999999998</v>
      </c>
    </row>
    <row r="581" spans="1:2" x14ac:dyDescent="0.75">
      <c r="A581" s="51">
        <v>44336</v>
      </c>
      <c r="B581" s="2">
        <v>5797.5969999999998</v>
      </c>
    </row>
    <row r="582" spans="1:2" x14ac:dyDescent="0.75">
      <c r="A582" s="51">
        <v>44337</v>
      </c>
      <c r="B582" s="2">
        <v>5773.12</v>
      </c>
    </row>
    <row r="583" spans="1:2" x14ac:dyDescent="0.75">
      <c r="A583" s="51">
        <v>44340</v>
      </c>
      <c r="B583" s="2">
        <v>5763.6319999999996</v>
      </c>
    </row>
    <row r="584" spans="1:2" x14ac:dyDescent="0.75">
      <c r="A584" s="51">
        <v>44341</v>
      </c>
      <c r="B584" s="2">
        <v>5815.84</v>
      </c>
    </row>
    <row r="585" spans="1:2" x14ac:dyDescent="0.75">
      <c r="A585" s="51">
        <v>44343</v>
      </c>
      <c r="B585" s="2">
        <v>5841.8280000000004</v>
      </c>
    </row>
    <row r="586" spans="1:2" x14ac:dyDescent="0.75">
      <c r="A586" s="51">
        <v>44344</v>
      </c>
      <c r="B586" s="2">
        <v>5848.616</v>
      </c>
    </row>
    <row r="587" spans="1:2" x14ac:dyDescent="0.75">
      <c r="A587" s="51">
        <v>44347</v>
      </c>
      <c r="B587" s="2">
        <v>5947.4629999999997</v>
      </c>
    </row>
    <row r="588" spans="1:2" x14ac:dyDescent="0.75">
      <c r="A588" s="51">
        <v>44349</v>
      </c>
      <c r="B588" s="2">
        <v>6031.5780000000004</v>
      </c>
    </row>
    <row r="589" spans="1:2" x14ac:dyDescent="0.75">
      <c r="A589" s="51">
        <v>44350</v>
      </c>
      <c r="B589" s="2">
        <v>6091.5129999999999</v>
      </c>
    </row>
    <row r="590" spans="1:2" x14ac:dyDescent="0.75">
      <c r="A590" s="51">
        <v>44351</v>
      </c>
      <c r="B590" s="2">
        <v>6065.1660000000002</v>
      </c>
    </row>
    <row r="591" spans="1:2" x14ac:dyDescent="0.75">
      <c r="A591" s="51">
        <v>44354</v>
      </c>
      <c r="B591" s="2">
        <v>6069.9350000000004</v>
      </c>
    </row>
    <row r="592" spans="1:2" x14ac:dyDescent="0.75">
      <c r="A592" s="51">
        <v>44355</v>
      </c>
      <c r="B592" s="2">
        <v>5999.3689999999997</v>
      </c>
    </row>
    <row r="593" spans="1:2" x14ac:dyDescent="0.75">
      <c r="A593" s="51">
        <v>44356</v>
      </c>
      <c r="B593" s="2">
        <v>6047.4750000000004</v>
      </c>
    </row>
    <row r="594" spans="1:2" x14ac:dyDescent="0.75">
      <c r="A594" s="51">
        <v>44357</v>
      </c>
      <c r="B594" s="2">
        <v>6107.5379999999996</v>
      </c>
    </row>
    <row r="595" spans="1:2" x14ac:dyDescent="0.75">
      <c r="A595" s="51">
        <v>44358</v>
      </c>
      <c r="B595" s="2">
        <v>6095.4970000000003</v>
      </c>
    </row>
    <row r="596" spans="1:2" x14ac:dyDescent="0.75">
      <c r="A596" s="51">
        <v>44361</v>
      </c>
      <c r="B596" s="2">
        <v>6080.384</v>
      </c>
    </row>
    <row r="597" spans="1:2" x14ac:dyDescent="0.75">
      <c r="A597" s="51">
        <v>44362</v>
      </c>
      <c r="B597" s="2">
        <v>6089.0379999999996</v>
      </c>
    </row>
    <row r="598" spans="1:2" x14ac:dyDescent="0.75">
      <c r="A598" s="51">
        <v>44363</v>
      </c>
      <c r="B598" s="2">
        <v>6078.5680000000002</v>
      </c>
    </row>
    <row r="599" spans="1:2" x14ac:dyDescent="0.75">
      <c r="A599" s="51">
        <v>44364</v>
      </c>
      <c r="B599" s="2">
        <v>6068.4470000000001</v>
      </c>
    </row>
    <row r="600" spans="1:2" x14ac:dyDescent="0.75">
      <c r="A600" s="51">
        <v>44365</v>
      </c>
      <c r="B600" s="2">
        <v>6007.12</v>
      </c>
    </row>
    <row r="601" spans="1:2" x14ac:dyDescent="0.75">
      <c r="A601" s="51">
        <v>44368</v>
      </c>
      <c r="B601" s="2">
        <v>5996.2529999999997</v>
      </c>
    </row>
    <row r="602" spans="1:2" x14ac:dyDescent="0.75">
      <c r="A602" s="51">
        <v>44369</v>
      </c>
      <c r="B602" s="2">
        <v>6087.8419999999996</v>
      </c>
    </row>
    <row r="603" spans="1:2" x14ac:dyDescent="0.75">
      <c r="A603" s="51">
        <v>44370</v>
      </c>
      <c r="B603" s="2">
        <v>6034.5429999999997</v>
      </c>
    </row>
    <row r="604" spans="1:2" x14ac:dyDescent="0.75">
      <c r="A604" s="51">
        <v>44371</v>
      </c>
      <c r="B604" s="2">
        <v>6012.0559999999996</v>
      </c>
    </row>
    <row r="605" spans="1:2" x14ac:dyDescent="0.75">
      <c r="A605" s="51">
        <v>44372</v>
      </c>
      <c r="B605" s="2">
        <v>6022.3990000000003</v>
      </c>
    </row>
    <row r="606" spans="1:2" x14ac:dyDescent="0.75">
      <c r="A606" s="51">
        <v>44375</v>
      </c>
      <c r="B606" s="2">
        <v>5939.4709999999995</v>
      </c>
    </row>
    <row r="607" spans="1:2" x14ac:dyDescent="0.75">
      <c r="A607" s="51">
        <v>44376</v>
      </c>
      <c r="B607" s="2">
        <v>5949.05</v>
      </c>
    </row>
    <row r="608" spans="1:2" x14ac:dyDescent="0.75">
      <c r="A608" s="51">
        <v>44377</v>
      </c>
      <c r="B608" s="2">
        <v>5985.4889999999996</v>
      </c>
    </row>
    <row r="609" spans="1:2" x14ac:dyDescent="0.75">
      <c r="A609" s="51">
        <v>44378</v>
      </c>
      <c r="B609" s="2">
        <v>6005.9579999999996</v>
      </c>
    </row>
    <row r="610" spans="1:2" x14ac:dyDescent="0.75">
      <c r="A610" s="51">
        <v>44379</v>
      </c>
      <c r="B610" s="2">
        <v>6023.0079999999998</v>
      </c>
    </row>
    <row r="611" spans="1:2" x14ac:dyDescent="0.75">
      <c r="A611" s="51">
        <v>44382</v>
      </c>
      <c r="B611" s="2">
        <v>6005.6090000000004</v>
      </c>
    </row>
    <row r="612" spans="1:2" x14ac:dyDescent="0.75">
      <c r="A612" s="51">
        <v>44383</v>
      </c>
      <c r="B612" s="2">
        <v>6047.1109999999999</v>
      </c>
    </row>
    <row r="613" spans="1:2" x14ac:dyDescent="0.75">
      <c r="A613" s="51">
        <v>44384</v>
      </c>
      <c r="B613" s="2">
        <v>6044.0370000000003</v>
      </c>
    </row>
    <row r="614" spans="1:2" x14ac:dyDescent="0.75">
      <c r="A614" s="51">
        <v>44385</v>
      </c>
      <c r="B614" s="2">
        <v>6039.8959999999997</v>
      </c>
    </row>
    <row r="615" spans="1:2" x14ac:dyDescent="0.75">
      <c r="A615" s="51">
        <v>44386</v>
      </c>
      <c r="B615" s="2">
        <v>6039.8440000000001</v>
      </c>
    </row>
    <row r="616" spans="1:2" x14ac:dyDescent="0.75">
      <c r="A616" s="51">
        <v>44389</v>
      </c>
      <c r="B616" s="2">
        <v>6078.5680000000002</v>
      </c>
    </row>
    <row r="617" spans="1:2" x14ac:dyDescent="0.75">
      <c r="A617" s="51">
        <v>44390</v>
      </c>
      <c r="B617" s="2">
        <v>6012.0320000000002</v>
      </c>
    </row>
    <row r="618" spans="1:2" x14ac:dyDescent="0.75">
      <c r="A618" s="51">
        <v>44391</v>
      </c>
      <c r="B618" s="2">
        <v>5979.2150000000001</v>
      </c>
    </row>
    <row r="619" spans="1:2" x14ac:dyDescent="0.75">
      <c r="A619" s="51">
        <v>44392</v>
      </c>
      <c r="B619" s="2">
        <v>6046.7539999999999</v>
      </c>
    </row>
    <row r="620" spans="1:2" x14ac:dyDescent="0.75">
      <c r="A620" s="51">
        <v>44393</v>
      </c>
      <c r="B620" s="2">
        <v>6072.51</v>
      </c>
    </row>
    <row r="621" spans="1:2" x14ac:dyDescent="0.75">
      <c r="A621" s="51">
        <v>44396</v>
      </c>
      <c r="B621" s="2">
        <v>6017.3940000000002</v>
      </c>
    </row>
    <row r="622" spans="1:2" x14ac:dyDescent="0.75">
      <c r="A622" s="51">
        <v>44398</v>
      </c>
      <c r="B622" s="2">
        <v>6029.9759999999997</v>
      </c>
    </row>
    <row r="623" spans="1:2" x14ac:dyDescent="0.75">
      <c r="A623" s="51">
        <v>44399</v>
      </c>
      <c r="B623" s="2">
        <v>6137.5469999999996</v>
      </c>
    </row>
    <row r="624" spans="1:2" x14ac:dyDescent="0.75">
      <c r="A624" s="51">
        <v>44400</v>
      </c>
      <c r="B624" s="2">
        <v>6101.69</v>
      </c>
    </row>
    <row r="625" spans="1:2" x14ac:dyDescent="0.75">
      <c r="A625" s="51">
        <v>44403</v>
      </c>
      <c r="B625" s="2">
        <v>6106.3940000000002</v>
      </c>
    </row>
    <row r="626" spans="1:2" x14ac:dyDescent="0.75">
      <c r="A626" s="51">
        <v>44404</v>
      </c>
      <c r="B626" s="2">
        <v>6097.049</v>
      </c>
    </row>
    <row r="627" spans="1:2" x14ac:dyDescent="0.75">
      <c r="A627" s="51">
        <v>44405</v>
      </c>
      <c r="B627" s="2">
        <v>6088.5230000000001</v>
      </c>
    </row>
    <row r="628" spans="1:2" x14ac:dyDescent="0.75">
      <c r="A628" s="51">
        <v>44406</v>
      </c>
      <c r="B628" s="2">
        <v>6120.7269999999999</v>
      </c>
    </row>
    <row r="629" spans="1:2" x14ac:dyDescent="0.75">
      <c r="A629" s="51">
        <v>44407</v>
      </c>
      <c r="B629" s="2">
        <v>6070.0389999999998</v>
      </c>
    </row>
    <row r="630" spans="1:2" x14ac:dyDescent="0.75">
      <c r="A630" s="51">
        <v>44410</v>
      </c>
      <c r="B630" s="2">
        <v>6096.5429999999997</v>
      </c>
    </row>
    <row r="631" spans="1:2" x14ac:dyDescent="0.75">
      <c r="A631" s="51">
        <v>44411</v>
      </c>
      <c r="B631" s="2">
        <v>6130.5709999999999</v>
      </c>
    </row>
    <row r="632" spans="1:2" x14ac:dyDescent="0.75">
      <c r="A632" s="51">
        <v>44412</v>
      </c>
      <c r="B632" s="2">
        <v>6159.0349999999999</v>
      </c>
    </row>
    <row r="633" spans="1:2" x14ac:dyDescent="0.75">
      <c r="A633" s="51">
        <v>44413</v>
      </c>
      <c r="B633" s="2">
        <v>6205.4170000000004</v>
      </c>
    </row>
    <row r="634" spans="1:2" x14ac:dyDescent="0.75">
      <c r="A634" s="51">
        <v>44414</v>
      </c>
      <c r="B634" s="2">
        <v>6203.4309999999996</v>
      </c>
    </row>
    <row r="635" spans="1:2" x14ac:dyDescent="0.75">
      <c r="A635" s="51">
        <v>44417</v>
      </c>
      <c r="B635" s="2">
        <v>6127.4560000000001</v>
      </c>
    </row>
    <row r="636" spans="1:2" x14ac:dyDescent="0.75">
      <c r="A636" s="51">
        <v>44418</v>
      </c>
      <c r="B636" s="2">
        <v>6088.4080000000004</v>
      </c>
    </row>
    <row r="637" spans="1:2" x14ac:dyDescent="0.75">
      <c r="A637" s="51">
        <v>44420</v>
      </c>
      <c r="B637" s="2">
        <v>6139.652</v>
      </c>
    </row>
    <row r="638" spans="1:2" x14ac:dyDescent="0.75">
      <c r="A638" s="51">
        <v>44421</v>
      </c>
      <c r="B638" s="2">
        <v>6139.4920000000002</v>
      </c>
    </row>
    <row r="639" spans="1:2" x14ac:dyDescent="0.75">
      <c r="A639" s="51">
        <v>44424</v>
      </c>
      <c r="B639" s="2">
        <v>6087.9129999999996</v>
      </c>
    </row>
    <row r="640" spans="1:2" x14ac:dyDescent="0.75">
      <c r="A640" s="51">
        <v>44426</v>
      </c>
      <c r="B640" s="2">
        <v>6118.15</v>
      </c>
    </row>
    <row r="641" spans="1:2" x14ac:dyDescent="0.75">
      <c r="A641" s="51">
        <v>44427</v>
      </c>
      <c r="B641" s="2">
        <v>5992.3220000000001</v>
      </c>
    </row>
    <row r="642" spans="1:2" x14ac:dyDescent="0.75">
      <c r="A642" s="51">
        <v>44428</v>
      </c>
      <c r="B642" s="2">
        <v>6030.7719999999999</v>
      </c>
    </row>
    <row r="643" spans="1:2" x14ac:dyDescent="0.75">
      <c r="A643" s="51">
        <v>44431</v>
      </c>
      <c r="B643" s="2">
        <v>6109.8280000000004</v>
      </c>
    </row>
    <row r="644" spans="1:2" x14ac:dyDescent="0.75">
      <c r="A644" s="51">
        <v>44432</v>
      </c>
      <c r="B644" s="2">
        <v>6089.4970000000003</v>
      </c>
    </row>
    <row r="645" spans="1:2" x14ac:dyDescent="0.75">
      <c r="A645" s="51">
        <v>44433</v>
      </c>
      <c r="B645" s="2">
        <v>6113.24</v>
      </c>
    </row>
    <row r="646" spans="1:2" x14ac:dyDescent="0.75">
      <c r="A646" s="51">
        <v>44434</v>
      </c>
      <c r="B646" s="2">
        <v>6058.08</v>
      </c>
    </row>
    <row r="647" spans="1:2" x14ac:dyDescent="0.75">
      <c r="A647" s="51">
        <v>44435</v>
      </c>
      <c r="B647" s="2">
        <v>6041.366</v>
      </c>
    </row>
    <row r="648" spans="1:2" x14ac:dyDescent="0.75">
      <c r="A648" s="51">
        <v>44438</v>
      </c>
      <c r="B648" s="2">
        <v>6144.902</v>
      </c>
    </row>
    <row r="649" spans="1:2" x14ac:dyDescent="0.75">
      <c r="A649" s="51">
        <v>44439</v>
      </c>
      <c r="B649" s="2">
        <v>6150.299</v>
      </c>
    </row>
    <row r="650" spans="1:2" x14ac:dyDescent="0.75">
      <c r="A650" s="51">
        <v>44440</v>
      </c>
      <c r="B650" s="2">
        <v>6090.933</v>
      </c>
    </row>
    <row r="651" spans="1:2" x14ac:dyDescent="0.75">
      <c r="A651" s="51">
        <v>44441</v>
      </c>
      <c r="B651" s="2">
        <v>6078.2290000000003</v>
      </c>
    </row>
    <row r="652" spans="1:2" x14ac:dyDescent="0.75">
      <c r="A652" s="51">
        <v>44442</v>
      </c>
      <c r="B652" s="2">
        <v>6126.9210000000003</v>
      </c>
    </row>
    <row r="653" spans="1:2" x14ac:dyDescent="0.75">
      <c r="A653" s="51">
        <v>44445</v>
      </c>
      <c r="B653" s="2">
        <v>6126.9380000000001</v>
      </c>
    </row>
    <row r="654" spans="1:2" x14ac:dyDescent="0.75">
      <c r="A654" s="51">
        <v>44446</v>
      </c>
      <c r="B654" s="2">
        <v>6112.4</v>
      </c>
    </row>
    <row r="655" spans="1:2" x14ac:dyDescent="0.75">
      <c r="A655" s="51">
        <v>44447</v>
      </c>
      <c r="B655" s="2">
        <v>6026.02</v>
      </c>
    </row>
    <row r="656" spans="1:2" x14ac:dyDescent="0.75">
      <c r="A656" s="51">
        <v>44448</v>
      </c>
      <c r="B656" s="2">
        <v>6068.2190000000001</v>
      </c>
    </row>
    <row r="657" spans="1:2" x14ac:dyDescent="0.75">
      <c r="A657" s="51">
        <v>44449</v>
      </c>
      <c r="B657" s="2">
        <v>6094.8729999999996</v>
      </c>
    </row>
    <row r="658" spans="1:2" x14ac:dyDescent="0.75">
      <c r="A658" s="51">
        <v>44452</v>
      </c>
      <c r="B658" s="2">
        <v>6088.1570000000002</v>
      </c>
    </row>
    <row r="659" spans="1:2" x14ac:dyDescent="0.75">
      <c r="A659" s="51">
        <v>44453</v>
      </c>
      <c r="B659" s="2">
        <v>6129.0950000000003</v>
      </c>
    </row>
    <row r="660" spans="1:2" x14ac:dyDescent="0.75">
      <c r="A660" s="51">
        <v>44454</v>
      </c>
      <c r="B660" s="2">
        <v>6110.2290000000003</v>
      </c>
    </row>
    <row r="661" spans="1:2" x14ac:dyDescent="0.75">
      <c r="A661" s="51">
        <v>44455</v>
      </c>
      <c r="B661" s="2">
        <v>6109.942</v>
      </c>
    </row>
    <row r="662" spans="1:2" x14ac:dyDescent="0.75">
      <c r="A662" s="51">
        <v>44456</v>
      </c>
      <c r="B662" s="2">
        <v>6133.2460000000001</v>
      </c>
    </row>
    <row r="663" spans="1:2" x14ac:dyDescent="0.75">
      <c r="A663" s="51">
        <v>44459</v>
      </c>
      <c r="B663" s="2">
        <v>6076.3149999999996</v>
      </c>
    </row>
    <row r="664" spans="1:2" x14ac:dyDescent="0.75">
      <c r="A664" s="51">
        <v>44460</v>
      </c>
      <c r="B664" s="2">
        <v>6060.7569999999996</v>
      </c>
    </row>
    <row r="665" spans="1:2" x14ac:dyDescent="0.75">
      <c r="A665" s="51">
        <v>44461</v>
      </c>
      <c r="B665" s="2">
        <v>6108.2650000000003</v>
      </c>
    </row>
    <row r="666" spans="1:2" x14ac:dyDescent="0.75">
      <c r="A666" s="51">
        <v>44462</v>
      </c>
      <c r="B666" s="2">
        <v>6142.7120000000004</v>
      </c>
    </row>
    <row r="667" spans="1:2" x14ac:dyDescent="0.75">
      <c r="A667" s="51">
        <v>44463</v>
      </c>
      <c r="B667" s="2">
        <v>6144.8149999999996</v>
      </c>
    </row>
    <row r="668" spans="1:2" x14ac:dyDescent="0.75">
      <c r="A668" s="51">
        <v>44466</v>
      </c>
      <c r="B668" s="2">
        <v>6122.4949999999999</v>
      </c>
    </row>
    <row r="669" spans="1:2" x14ac:dyDescent="0.75">
      <c r="A669" s="51">
        <v>44467</v>
      </c>
      <c r="B669" s="2">
        <v>6113.1120000000001</v>
      </c>
    </row>
    <row r="670" spans="1:2" x14ac:dyDescent="0.75">
      <c r="A670" s="51">
        <v>44468</v>
      </c>
      <c r="B670" s="2">
        <v>6162.5540000000001</v>
      </c>
    </row>
    <row r="671" spans="1:2" x14ac:dyDescent="0.75">
      <c r="A671" s="51">
        <v>44469</v>
      </c>
      <c r="B671" s="2">
        <v>6286.9430000000002</v>
      </c>
    </row>
    <row r="672" spans="1:2" x14ac:dyDescent="0.75">
      <c r="A672" s="51">
        <v>44470</v>
      </c>
      <c r="B672" s="2">
        <v>6228.8450000000003</v>
      </c>
    </row>
    <row r="673" spans="1:2" x14ac:dyDescent="0.75">
      <c r="A673" s="51">
        <v>44473</v>
      </c>
      <c r="B673" s="2">
        <v>6342.6859999999997</v>
      </c>
    </row>
    <row r="674" spans="1:2" x14ac:dyDescent="0.75">
      <c r="A674" s="51">
        <v>44474</v>
      </c>
      <c r="B674" s="2">
        <v>6288.049</v>
      </c>
    </row>
    <row r="675" spans="1:2" x14ac:dyDescent="0.75">
      <c r="A675" s="51">
        <v>44475</v>
      </c>
      <c r="B675" s="2">
        <v>6417.3230000000003</v>
      </c>
    </row>
    <row r="676" spans="1:2" x14ac:dyDescent="0.75">
      <c r="A676" s="51">
        <v>44476</v>
      </c>
      <c r="B676" s="2">
        <v>6416.3959999999997</v>
      </c>
    </row>
    <row r="677" spans="1:2" x14ac:dyDescent="0.75">
      <c r="A677" s="51">
        <v>44477</v>
      </c>
      <c r="B677" s="2">
        <v>6481.7690000000002</v>
      </c>
    </row>
    <row r="678" spans="1:2" x14ac:dyDescent="0.75">
      <c r="A678" s="51">
        <v>44480</v>
      </c>
      <c r="B678" s="2">
        <v>6459.6970000000001</v>
      </c>
    </row>
    <row r="679" spans="1:2" x14ac:dyDescent="0.75">
      <c r="A679" s="51">
        <v>44481</v>
      </c>
      <c r="B679" s="2">
        <v>6486.2669999999998</v>
      </c>
    </row>
    <row r="680" spans="1:2" x14ac:dyDescent="0.75">
      <c r="A680" s="51">
        <v>44482</v>
      </c>
      <c r="B680" s="2">
        <v>6536.9040000000005</v>
      </c>
    </row>
    <row r="681" spans="1:2" x14ac:dyDescent="0.75">
      <c r="A681" s="51">
        <v>44483</v>
      </c>
      <c r="B681" s="2">
        <v>6626.1139999999996</v>
      </c>
    </row>
    <row r="682" spans="1:2" x14ac:dyDescent="0.75">
      <c r="A682" s="51">
        <v>44484</v>
      </c>
      <c r="B682" s="2">
        <v>6633.3379999999997</v>
      </c>
    </row>
    <row r="683" spans="1:2" x14ac:dyDescent="0.75">
      <c r="A683" s="51">
        <v>44487</v>
      </c>
      <c r="B683" s="2">
        <v>6658.768</v>
      </c>
    </row>
    <row r="684" spans="1:2" x14ac:dyDescent="0.75">
      <c r="A684" s="51">
        <v>44488</v>
      </c>
      <c r="B684" s="2">
        <v>6655.9979999999996</v>
      </c>
    </row>
    <row r="685" spans="1:2" x14ac:dyDescent="0.75">
      <c r="A685" s="51">
        <v>44490</v>
      </c>
      <c r="B685" s="2">
        <v>6632.9719999999998</v>
      </c>
    </row>
    <row r="686" spans="1:2" x14ac:dyDescent="0.75">
      <c r="A686" s="51">
        <v>44491</v>
      </c>
      <c r="B686" s="2">
        <v>6643.7380000000003</v>
      </c>
    </row>
    <row r="687" spans="1:2" x14ac:dyDescent="0.75">
      <c r="A687" s="51">
        <v>44494</v>
      </c>
      <c r="B687" s="2">
        <v>6625.6970000000001</v>
      </c>
    </row>
    <row r="688" spans="1:2" x14ac:dyDescent="0.75">
      <c r="A688" s="51">
        <v>44495</v>
      </c>
      <c r="B688" s="2">
        <v>6656.9369999999999</v>
      </c>
    </row>
    <row r="689" spans="1:2" x14ac:dyDescent="0.75">
      <c r="A689" s="51">
        <v>44496</v>
      </c>
      <c r="B689" s="2">
        <v>6602.2089999999998</v>
      </c>
    </row>
    <row r="690" spans="1:2" x14ac:dyDescent="0.75">
      <c r="A690" s="51">
        <v>44497</v>
      </c>
      <c r="B690" s="2">
        <v>6524.076</v>
      </c>
    </row>
    <row r="691" spans="1:2" x14ac:dyDescent="0.75">
      <c r="A691" s="51">
        <v>44498</v>
      </c>
      <c r="B691" s="2">
        <v>6591.3459999999995</v>
      </c>
    </row>
    <row r="692" spans="1:2" x14ac:dyDescent="0.75">
      <c r="A692" s="51">
        <v>44501</v>
      </c>
      <c r="B692" s="2">
        <v>6552.8890000000001</v>
      </c>
    </row>
    <row r="693" spans="1:2" x14ac:dyDescent="0.75">
      <c r="A693" s="51">
        <v>44502</v>
      </c>
      <c r="B693" s="2">
        <v>6493.2749999999996</v>
      </c>
    </row>
    <row r="694" spans="1:2" x14ac:dyDescent="0.75">
      <c r="A694" s="51">
        <v>44503</v>
      </c>
      <c r="B694" s="2">
        <v>6552.13</v>
      </c>
    </row>
    <row r="695" spans="1:2" x14ac:dyDescent="0.75">
      <c r="A695" s="51">
        <v>44504</v>
      </c>
      <c r="B695" s="2">
        <v>6586.4430000000002</v>
      </c>
    </row>
    <row r="696" spans="1:2" x14ac:dyDescent="0.75">
      <c r="A696" s="51">
        <v>44505</v>
      </c>
      <c r="B696" s="2">
        <v>6581.7849999999999</v>
      </c>
    </row>
    <row r="697" spans="1:2" x14ac:dyDescent="0.75">
      <c r="A697" s="51">
        <v>44508</v>
      </c>
      <c r="B697" s="2">
        <v>6632.2969999999996</v>
      </c>
    </row>
    <row r="698" spans="1:2" x14ac:dyDescent="0.75">
      <c r="A698" s="51">
        <v>44509</v>
      </c>
      <c r="B698" s="2">
        <v>6669.9250000000002</v>
      </c>
    </row>
    <row r="699" spans="1:2" x14ac:dyDescent="0.75">
      <c r="A699" s="51">
        <v>44510</v>
      </c>
      <c r="B699" s="2">
        <v>6683.1450000000004</v>
      </c>
    </row>
    <row r="700" spans="1:2" x14ac:dyDescent="0.75">
      <c r="A700" s="51">
        <v>44511</v>
      </c>
      <c r="B700" s="2">
        <v>6691.3419999999996</v>
      </c>
    </row>
    <row r="701" spans="1:2" x14ac:dyDescent="0.75">
      <c r="A701" s="51">
        <v>44512</v>
      </c>
      <c r="B701" s="2">
        <v>6651.0540000000001</v>
      </c>
    </row>
    <row r="702" spans="1:2" x14ac:dyDescent="0.75">
      <c r="A702" s="51">
        <v>44515</v>
      </c>
      <c r="B702" s="2">
        <v>6616.0290000000005</v>
      </c>
    </row>
    <row r="703" spans="1:2" x14ac:dyDescent="0.75">
      <c r="A703" s="51">
        <v>44516</v>
      </c>
      <c r="B703" s="2">
        <v>6651.2070000000003</v>
      </c>
    </row>
    <row r="704" spans="1:2" x14ac:dyDescent="0.75">
      <c r="A704" s="51">
        <v>44517</v>
      </c>
      <c r="B704" s="2">
        <v>6675.8040000000001</v>
      </c>
    </row>
    <row r="705" spans="1:2" x14ac:dyDescent="0.75">
      <c r="A705" s="51">
        <v>44518</v>
      </c>
      <c r="B705" s="2">
        <v>6636.4690000000001</v>
      </c>
    </row>
    <row r="706" spans="1:2" x14ac:dyDescent="0.75">
      <c r="A706" s="51">
        <v>44519</v>
      </c>
      <c r="B706" s="2">
        <v>6720.2629999999999</v>
      </c>
    </row>
    <row r="707" spans="1:2" x14ac:dyDescent="0.75">
      <c r="A707" s="51">
        <v>44522</v>
      </c>
      <c r="B707" s="2">
        <v>6723.3860000000004</v>
      </c>
    </row>
    <row r="708" spans="1:2" x14ac:dyDescent="0.75">
      <c r="A708" s="51">
        <v>44523</v>
      </c>
      <c r="B708" s="2">
        <v>6677.8760000000002</v>
      </c>
    </row>
    <row r="709" spans="1:2" x14ac:dyDescent="0.75">
      <c r="A709" s="51">
        <v>44524</v>
      </c>
      <c r="B709" s="2">
        <v>6683.277</v>
      </c>
    </row>
    <row r="710" spans="1:2" x14ac:dyDescent="0.75">
      <c r="A710" s="51">
        <v>44525</v>
      </c>
      <c r="B710" s="2">
        <v>6699.3459999999995</v>
      </c>
    </row>
    <row r="711" spans="1:2" x14ac:dyDescent="0.75">
      <c r="A711" s="51">
        <v>44526</v>
      </c>
      <c r="B711" s="2">
        <v>6561.5529999999999</v>
      </c>
    </row>
    <row r="712" spans="1:2" x14ac:dyDescent="0.75">
      <c r="A712" s="51">
        <v>44529</v>
      </c>
      <c r="B712" s="2">
        <v>6608.29</v>
      </c>
    </row>
    <row r="713" spans="1:2" x14ac:dyDescent="0.75">
      <c r="A713" s="51">
        <v>44530</v>
      </c>
      <c r="B713" s="2">
        <v>6533.9319999999998</v>
      </c>
    </row>
    <row r="714" spans="1:2" x14ac:dyDescent="0.75">
      <c r="A714" s="51">
        <v>44531</v>
      </c>
      <c r="B714" s="2">
        <v>6507.6769999999997</v>
      </c>
    </row>
    <row r="715" spans="1:2" x14ac:dyDescent="0.75">
      <c r="A715" s="51">
        <v>44532</v>
      </c>
      <c r="B715" s="2">
        <v>6583.82</v>
      </c>
    </row>
    <row r="716" spans="1:2" x14ac:dyDescent="0.75">
      <c r="A716" s="51">
        <v>44533</v>
      </c>
      <c r="B716" s="2">
        <v>6538.5060000000003</v>
      </c>
    </row>
    <row r="717" spans="1:2" x14ac:dyDescent="0.75">
      <c r="A717" s="51">
        <v>44536</v>
      </c>
      <c r="B717" s="2">
        <v>6547.116</v>
      </c>
    </row>
    <row r="718" spans="1:2" x14ac:dyDescent="0.75">
      <c r="A718" s="51">
        <v>44537</v>
      </c>
      <c r="B718" s="2">
        <v>6602.5690000000004</v>
      </c>
    </row>
    <row r="719" spans="1:2" x14ac:dyDescent="0.75">
      <c r="A719" s="51">
        <v>44538</v>
      </c>
      <c r="B719" s="2">
        <v>6603.7979999999998</v>
      </c>
    </row>
    <row r="720" spans="1:2" x14ac:dyDescent="0.75">
      <c r="A720" s="51">
        <v>44539</v>
      </c>
      <c r="B720" s="2">
        <v>6643.9319999999998</v>
      </c>
    </row>
    <row r="721" spans="1:2" x14ac:dyDescent="0.75">
      <c r="A721" s="51">
        <v>44540</v>
      </c>
      <c r="B721" s="2">
        <v>6652.9219999999996</v>
      </c>
    </row>
    <row r="722" spans="1:2" x14ac:dyDescent="0.75">
      <c r="A722" s="51">
        <v>44543</v>
      </c>
      <c r="B722" s="2">
        <v>6662.8710000000001</v>
      </c>
    </row>
    <row r="723" spans="1:2" x14ac:dyDescent="0.75">
      <c r="A723" s="51">
        <v>44544</v>
      </c>
      <c r="B723" s="2">
        <v>6615.6369999999997</v>
      </c>
    </row>
    <row r="724" spans="1:2" x14ac:dyDescent="0.75">
      <c r="A724" s="51">
        <v>44545</v>
      </c>
      <c r="B724" s="2">
        <v>6626.2569999999996</v>
      </c>
    </row>
    <row r="725" spans="1:2" x14ac:dyDescent="0.75">
      <c r="A725" s="51">
        <v>44546</v>
      </c>
      <c r="B725" s="2">
        <v>6594.7979999999998</v>
      </c>
    </row>
    <row r="726" spans="1:2" x14ac:dyDescent="0.75">
      <c r="A726" s="51">
        <v>44547</v>
      </c>
      <c r="B726" s="2">
        <v>6601.9319999999998</v>
      </c>
    </row>
    <row r="727" spans="1:2" x14ac:dyDescent="0.75">
      <c r="A727" s="51">
        <v>44550</v>
      </c>
      <c r="B727" s="2">
        <v>6547.1120000000001</v>
      </c>
    </row>
    <row r="728" spans="1:2" x14ac:dyDescent="0.75">
      <c r="A728" s="51">
        <v>44551</v>
      </c>
      <c r="B728" s="2">
        <v>6554.3090000000002</v>
      </c>
    </row>
    <row r="729" spans="1:2" x14ac:dyDescent="0.75">
      <c r="A729" s="51">
        <v>44552</v>
      </c>
      <c r="B729" s="2">
        <v>6529.5929999999998</v>
      </c>
    </row>
    <row r="730" spans="1:2" x14ac:dyDescent="0.75">
      <c r="A730" s="51">
        <v>44553</v>
      </c>
      <c r="B730" s="2">
        <v>6555.5510000000004</v>
      </c>
    </row>
    <row r="731" spans="1:2" x14ac:dyDescent="0.75">
      <c r="A731" s="51">
        <v>44554</v>
      </c>
      <c r="B731" s="2">
        <v>6562.9</v>
      </c>
    </row>
    <row r="732" spans="1:2" x14ac:dyDescent="0.75">
      <c r="A732" s="51">
        <v>44557</v>
      </c>
      <c r="B732" s="2">
        <v>6575.4440000000004</v>
      </c>
    </row>
    <row r="733" spans="1:2" x14ac:dyDescent="0.75">
      <c r="A733" s="51">
        <v>44558</v>
      </c>
      <c r="B733" s="2">
        <v>6598.3429999999998</v>
      </c>
    </row>
    <row r="734" spans="1:2" x14ac:dyDescent="0.75">
      <c r="A734" s="51">
        <v>44559</v>
      </c>
      <c r="B734" s="2">
        <v>6600.6769999999997</v>
      </c>
    </row>
    <row r="735" spans="1:2" x14ac:dyDescent="0.75">
      <c r="A735" s="51">
        <v>44560</v>
      </c>
      <c r="B735" s="2">
        <v>6581.482</v>
      </c>
    </row>
    <row r="736" spans="1:2" x14ac:dyDescent="0.75">
      <c r="A736" s="51">
        <v>44564</v>
      </c>
      <c r="B736" s="2">
        <v>6665.308</v>
      </c>
    </row>
    <row r="737" spans="1:2" x14ac:dyDescent="0.75">
      <c r="A737" s="51">
        <v>44565</v>
      </c>
      <c r="B737" s="2">
        <v>6695.3729999999996</v>
      </c>
    </row>
    <row r="738" spans="1:2" x14ac:dyDescent="0.75">
      <c r="A738" s="51">
        <v>44566</v>
      </c>
      <c r="B738" s="2">
        <v>6662.299</v>
      </c>
    </row>
    <row r="739" spans="1:2" x14ac:dyDescent="0.75">
      <c r="A739" s="51">
        <v>44567</v>
      </c>
      <c r="B739" s="2">
        <v>6653.3509999999997</v>
      </c>
    </row>
    <row r="740" spans="1:2" x14ac:dyDescent="0.75">
      <c r="A740" s="51">
        <v>44568</v>
      </c>
      <c r="B740" s="2">
        <v>6701.3159999999998</v>
      </c>
    </row>
    <row r="741" spans="1:2" x14ac:dyDescent="0.75">
      <c r="A741" s="51">
        <v>44571</v>
      </c>
      <c r="B741" s="2">
        <v>6691.1239999999998</v>
      </c>
    </row>
    <row r="742" spans="1:2" x14ac:dyDescent="0.75">
      <c r="A742" s="51">
        <v>44572</v>
      </c>
      <c r="B742" s="2">
        <v>6647.97</v>
      </c>
    </row>
    <row r="743" spans="1:2" x14ac:dyDescent="0.75">
      <c r="A743" s="51">
        <v>44573</v>
      </c>
      <c r="B743" s="2">
        <v>6647.0649999999996</v>
      </c>
    </row>
    <row r="744" spans="1:2" x14ac:dyDescent="0.75">
      <c r="A744" s="51">
        <v>44574</v>
      </c>
      <c r="B744" s="2">
        <v>6658.3559999999998</v>
      </c>
    </row>
    <row r="745" spans="1:2" x14ac:dyDescent="0.75">
      <c r="A745" s="51">
        <v>44575</v>
      </c>
      <c r="B745" s="2">
        <v>6693.4009999999998</v>
      </c>
    </row>
    <row r="746" spans="1:2" x14ac:dyDescent="0.75">
      <c r="A746" s="51">
        <v>44578</v>
      </c>
      <c r="B746" s="2">
        <v>6645.0479999999998</v>
      </c>
    </row>
    <row r="747" spans="1:2" x14ac:dyDescent="0.75">
      <c r="A747" s="51">
        <v>44579</v>
      </c>
      <c r="B747" s="2">
        <v>6614.0590000000002</v>
      </c>
    </row>
    <row r="748" spans="1:2" x14ac:dyDescent="0.75">
      <c r="A748" s="51">
        <v>44580</v>
      </c>
      <c r="B748" s="2">
        <v>6591.9809999999998</v>
      </c>
    </row>
    <row r="749" spans="1:2" x14ac:dyDescent="0.75">
      <c r="A749" s="51">
        <v>44581</v>
      </c>
      <c r="B749" s="2">
        <v>6626.8710000000001</v>
      </c>
    </row>
    <row r="750" spans="1:2" x14ac:dyDescent="0.75">
      <c r="A750" s="51">
        <v>44582</v>
      </c>
      <c r="B750" s="2">
        <v>6726.3729999999996</v>
      </c>
    </row>
    <row r="751" spans="1:2" x14ac:dyDescent="0.75">
      <c r="A751" s="51">
        <v>44585</v>
      </c>
      <c r="B751" s="2">
        <v>6655.1660000000002</v>
      </c>
    </row>
    <row r="752" spans="1:2" x14ac:dyDescent="0.75">
      <c r="A752" s="51">
        <v>44586</v>
      </c>
      <c r="B752" s="2">
        <v>6568.1729999999998</v>
      </c>
    </row>
    <row r="753" spans="1:2" x14ac:dyDescent="0.75">
      <c r="A753" s="51">
        <v>44587</v>
      </c>
      <c r="B753" s="2">
        <v>6600.8190000000004</v>
      </c>
    </row>
    <row r="754" spans="1:2" x14ac:dyDescent="0.75">
      <c r="A754" s="51">
        <v>44588</v>
      </c>
      <c r="B754" s="2">
        <v>6611.1610000000001</v>
      </c>
    </row>
    <row r="755" spans="1:2" x14ac:dyDescent="0.75">
      <c r="A755" s="51">
        <v>44589</v>
      </c>
      <c r="B755" s="2">
        <v>6645.5110000000004</v>
      </c>
    </row>
    <row r="756" spans="1:2" x14ac:dyDescent="0.75">
      <c r="A756" s="51">
        <v>44592</v>
      </c>
      <c r="B756" s="2">
        <v>6631.1509999999998</v>
      </c>
    </row>
    <row r="757" spans="1:2" x14ac:dyDescent="0.75">
      <c r="A757" s="51">
        <v>44594</v>
      </c>
      <c r="B757" s="2">
        <v>6707.652</v>
      </c>
    </row>
    <row r="758" spans="1:2" x14ac:dyDescent="0.75">
      <c r="A758" s="51">
        <v>44595</v>
      </c>
      <c r="B758" s="2">
        <v>6683.8509999999997</v>
      </c>
    </row>
    <row r="759" spans="1:2" x14ac:dyDescent="0.75">
      <c r="A759" s="51">
        <v>44596</v>
      </c>
      <c r="B759" s="2">
        <v>6731.3909999999996</v>
      </c>
    </row>
    <row r="760" spans="1:2" x14ac:dyDescent="0.75">
      <c r="A760" s="51">
        <v>44599</v>
      </c>
      <c r="B760" s="2">
        <v>6804.9369999999999</v>
      </c>
    </row>
    <row r="761" spans="1:2" x14ac:dyDescent="0.75">
      <c r="A761" s="51">
        <v>44600</v>
      </c>
      <c r="B761" s="2">
        <v>6789.5219999999999</v>
      </c>
    </row>
    <row r="762" spans="1:2" x14ac:dyDescent="0.75">
      <c r="A762" s="51">
        <v>44601</v>
      </c>
      <c r="B762" s="2">
        <v>6834.6059999999998</v>
      </c>
    </row>
    <row r="763" spans="1:2" x14ac:dyDescent="0.75">
      <c r="A763" s="51">
        <v>44602</v>
      </c>
      <c r="B763" s="2">
        <v>6823.6419999999998</v>
      </c>
    </row>
    <row r="764" spans="1:2" x14ac:dyDescent="0.75">
      <c r="A764" s="51">
        <v>44603</v>
      </c>
      <c r="B764" s="2">
        <v>6815.607</v>
      </c>
    </row>
    <row r="765" spans="1:2" x14ac:dyDescent="0.75">
      <c r="A765" s="51">
        <v>44606</v>
      </c>
      <c r="B765" s="2">
        <v>6734.4859999999999</v>
      </c>
    </row>
    <row r="766" spans="1:2" x14ac:dyDescent="0.75">
      <c r="A766" s="51">
        <v>44607</v>
      </c>
      <c r="B766" s="2">
        <v>6807.4970000000003</v>
      </c>
    </row>
    <row r="767" spans="1:2" x14ac:dyDescent="0.75">
      <c r="A767" s="51">
        <v>44608</v>
      </c>
      <c r="B767" s="2">
        <v>6850.1980000000003</v>
      </c>
    </row>
    <row r="768" spans="1:2" x14ac:dyDescent="0.75">
      <c r="A768" s="51">
        <v>44609</v>
      </c>
      <c r="B768" s="2">
        <v>6835.1170000000002</v>
      </c>
    </row>
    <row r="769" spans="1:2" x14ac:dyDescent="0.75">
      <c r="A769" s="51">
        <v>44610</v>
      </c>
      <c r="B769" s="2">
        <v>6892.8180000000002</v>
      </c>
    </row>
    <row r="770" spans="1:2" x14ac:dyDescent="0.75">
      <c r="A770" s="51">
        <v>44613</v>
      </c>
      <c r="B770" s="2">
        <v>6902.9650000000001</v>
      </c>
    </row>
    <row r="771" spans="1:2" x14ac:dyDescent="0.75">
      <c r="A771" s="51">
        <v>44614</v>
      </c>
      <c r="B771" s="2">
        <v>6861.9939999999997</v>
      </c>
    </row>
    <row r="772" spans="1:2" x14ac:dyDescent="0.75">
      <c r="A772" s="51">
        <v>44615</v>
      </c>
      <c r="B772" s="2">
        <v>6920.0559999999996</v>
      </c>
    </row>
    <row r="773" spans="1:2" x14ac:dyDescent="0.75">
      <c r="A773" s="51">
        <v>44616</v>
      </c>
      <c r="B773" s="2">
        <v>6817.82</v>
      </c>
    </row>
    <row r="774" spans="1:2" x14ac:dyDescent="0.75">
      <c r="A774" s="51">
        <v>44617</v>
      </c>
      <c r="B774" s="2">
        <v>6888.1710000000003</v>
      </c>
    </row>
    <row r="775" spans="1:2" x14ac:dyDescent="0.75">
      <c r="A775" s="51">
        <v>44621</v>
      </c>
      <c r="B775" s="2">
        <v>6921.4409999999998</v>
      </c>
    </row>
    <row r="776" spans="1:2" x14ac:dyDescent="0.75">
      <c r="A776" s="51">
        <v>44622</v>
      </c>
      <c r="B776" s="2">
        <v>6868.402</v>
      </c>
    </row>
    <row r="777" spans="1:2" x14ac:dyDescent="0.75">
      <c r="A777" s="51">
        <v>44624</v>
      </c>
      <c r="B777" s="2">
        <v>6928.3280000000004</v>
      </c>
    </row>
    <row r="778" spans="1:2" x14ac:dyDescent="0.75">
      <c r="A778" s="51">
        <v>44627</v>
      </c>
      <c r="B778" s="2">
        <v>6869.0659999999998</v>
      </c>
    </row>
    <row r="779" spans="1:2" x14ac:dyDescent="0.75">
      <c r="A779" s="51">
        <v>44628</v>
      </c>
      <c r="B779" s="2">
        <v>6814.183</v>
      </c>
    </row>
    <row r="780" spans="1:2" x14ac:dyDescent="0.75">
      <c r="A780" s="51">
        <v>44629</v>
      </c>
      <c r="B780" s="2">
        <v>6864.4409999999998</v>
      </c>
    </row>
    <row r="781" spans="1:2" x14ac:dyDescent="0.75">
      <c r="A781" s="51">
        <v>44630</v>
      </c>
      <c r="B781" s="2">
        <v>6924.0079999999998</v>
      </c>
    </row>
    <row r="782" spans="1:2" x14ac:dyDescent="0.75">
      <c r="A782" s="51">
        <v>44631</v>
      </c>
      <c r="B782" s="2">
        <v>6922.6019999999999</v>
      </c>
    </row>
    <row r="783" spans="1:2" x14ac:dyDescent="0.75">
      <c r="A783" s="51">
        <v>44634</v>
      </c>
      <c r="B783" s="2">
        <v>6952.2039999999997</v>
      </c>
    </row>
    <row r="784" spans="1:2" x14ac:dyDescent="0.75">
      <c r="A784" s="51">
        <v>44635</v>
      </c>
      <c r="B784" s="2">
        <v>6918.1850000000004</v>
      </c>
    </row>
    <row r="785" spans="1:2" x14ac:dyDescent="0.75">
      <c r="A785" s="51">
        <v>44636</v>
      </c>
      <c r="B785" s="2">
        <v>6992.3950000000004</v>
      </c>
    </row>
    <row r="786" spans="1:2" x14ac:dyDescent="0.75">
      <c r="A786" s="51">
        <v>44637</v>
      </c>
      <c r="B786" s="2">
        <v>6964.3850000000002</v>
      </c>
    </row>
    <row r="787" spans="1:2" x14ac:dyDescent="0.75">
      <c r="A787" s="51">
        <v>44638</v>
      </c>
      <c r="B787" s="2">
        <v>6954.9650000000001</v>
      </c>
    </row>
    <row r="788" spans="1:2" x14ac:dyDescent="0.75">
      <c r="A788" s="51">
        <v>44641</v>
      </c>
      <c r="B788" s="2">
        <v>6955.1809999999996</v>
      </c>
    </row>
    <row r="789" spans="1:2" x14ac:dyDescent="0.75">
      <c r="A789" s="51">
        <v>44642</v>
      </c>
      <c r="B789" s="2">
        <v>7000.8220000000001</v>
      </c>
    </row>
    <row r="790" spans="1:2" x14ac:dyDescent="0.75">
      <c r="A790" s="51">
        <v>44643</v>
      </c>
      <c r="B790" s="2">
        <v>6996.1149999999998</v>
      </c>
    </row>
    <row r="791" spans="1:2" x14ac:dyDescent="0.75">
      <c r="A791" s="51">
        <v>44644</v>
      </c>
      <c r="B791" s="2">
        <v>7049.6850000000004</v>
      </c>
    </row>
    <row r="792" spans="1:2" x14ac:dyDescent="0.75">
      <c r="A792" s="51">
        <v>44645</v>
      </c>
      <c r="B792" s="2">
        <v>7002.5320000000002</v>
      </c>
    </row>
    <row r="793" spans="1:2" x14ac:dyDescent="0.75">
      <c r="A793" s="51">
        <v>44648</v>
      </c>
      <c r="B793" s="2">
        <v>7049.6030000000001</v>
      </c>
    </row>
    <row r="794" spans="1:2" x14ac:dyDescent="0.75">
      <c r="A794" s="51">
        <v>44649</v>
      </c>
      <c r="B794" s="2">
        <v>7011.6890000000003</v>
      </c>
    </row>
    <row r="795" spans="1:2" x14ac:dyDescent="0.75">
      <c r="A795" s="51">
        <v>44650</v>
      </c>
      <c r="B795" s="2">
        <v>7053.19</v>
      </c>
    </row>
    <row r="796" spans="1:2" x14ac:dyDescent="0.75">
      <c r="A796" s="51">
        <v>44651</v>
      </c>
      <c r="B796" s="2">
        <v>7071.442</v>
      </c>
    </row>
    <row r="797" spans="1:2" x14ac:dyDescent="0.75">
      <c r="A797" s="51">
        <v>44652</v>
      </c>
      <c r="B797" s="2">
        <v>7078.76</v>
      </c>
    </row>
    <row r="798" spans="1:2" x14ac:dyDescent="0.75">
      <c r="A798" s="51">
        <v>44655</v>
      </c>
      <c r="B798" s="2">
        <v>7116.2179999999998</v>
      </c>
    </row>
    <row r="799" spans="1:2" x14ac:dyDescent="0.75">
      <c r="A799" s="51">
        <v>44656</v>
      </c>
      <c r="B799" s="2">
        <v>7148.299</v>
      </c>
    </row>
    <row r="800" spans="1:2" x14ac:dyDescent="0.75">
      <c r="A800" s="51">
        <v>44657</v>
      </c>
      <c r="B800" s="2">
        <v>7104.2160000000003</v>
      </c>
    </row>
    <row r="801" spans="1:2" x14ac:dyDescent="0.75">
      <c r="A801" s="51">
        <v>44658</v>
      </c>
      <c r="B801" s="2">
        <v>7127.3670000000002</v>
      </c>
    </row>
    <row r="802" spans="1:2" x14ac:dyDescent="0.75">
      <c r="A802" s="51">
        <v>44659</v>
      </c>
      <c r="B802" s="2">
        <v>7210.835</v>
      </c>
    </row>
    <row r="803" spans="1:2" x14ac:dyDescent="0.75">
      <c r="A803" s="51">
        <v>44662</v>
      </c>
      <c r="B803" s="2">
        <v>7203.7939999999999</v>
      </c>
    </row>
    <row r="804" spans="1:2" x14ac:dyDescent="0.75">
      <c r="A804" s="51">
        <v>44663</v>
      </c>
      <c r="B804" s="2">
        <v>7214.7809999999999</v>
      </c>
    </row>
    <row r="805" spans="1:2" x14ac:dyDescent="0.75">
      <c r="A805" s="51">
        <v>44664</v>
      </c>
      <c r="B805" s="2">
        <v>7262.777</v>
      </c>
    </row>
    <row r="806" spans="1:2" x14ac:dyDescent="0.75">
      <c r="A806" s="51">
        <v>44665</v>
      </c>
      <c r="B806" s="2">
        <v>7235.5320000000002</v>
      </c>
    </row>
    <row r="807" spans="1:2" x14ac:dyDescent="0.75">
      <c r="A807" s="51">
        <v>44669</v>
      </c>
      <c r="B807" s="2">
        <v>7275.2889999999998</v>
      </c>
    </row>
    <row r="808" spans="1:2" x14ac:dyDescent="0.75">
      <c r="A808" s="51">
        <v>44670</v>
      </c>
      <c r="B808" s="2">
        <v>7199.232</v>
      </c>
    </row>
    <row r="809" spans="1:2" x14ac:dyDescent="0.75">
      <c r="A809" s="51">
        <v>44671</v>
      </c>
      <c r="B809" s="2">
        <v>7227.3620000000001</v>
      </c>
    </row>
    <row r="810" spans="1:2" x14ac:dyDescent="0.75">
      <c r="A810" s="51">
        <v>44672</v>
      </c>
      <c r="B810" s="2">
        <v>7276.1930000000002</v>
      </c>
    </row>
    <row r="811" spans="1:2" x14ac:dyDescent="0.75">
      <c r="A811" s="51">
        <v>44673</v>
      </c>
      <c r="B811" s="2">
        <v>7225.6059999999998</v>
      </c>
    </row>
    <row r="812" spans="1:2" x14ac:dyDescent="0.75">
      <c r="A812" s="51">
        <v>44676</v>
      </c>
      <c r="B812" s="2">
        <v>7215.9790000000003</v>
      </c>
    </row>
    <row r="813" spans="1:2" x14ac:dyDescent="0.75">
      <c r="A813" s="51">
        <v>44677</v>
      </c>
      <c r="B813" s="2">
        <v>7232.1530000000002</v>
      </c>
    </row>
    <row r="814" spans="1:2" x14ac:dyDescent="0.75">
      <c r="A814" s="51">
        <v>44678</v>
      </c>
      <c r="B814" s="2">
        <v>7196.7640000000001</v>
      </c>
    </row>
    <row r="815" spans="1:2" x14ac:dyDescent="0.75">
      <c r="A815" s="51">
        <v>44679</v>
      </c>
      <c r="B815" s="2">
        <v>7228.9139999999998</v>
      </c>
    </row>
    <row r="816" spans="1:2" x14ac:dyDescent="0.75">
      <c r="A816" s="51">
        <v>44690</v>
      </c>
      <c r="B816" s="2">
        <v>6909.7510000000002</v>
      </c>
    </row>
    <row r="817" spans="1:2" x14ac:dyDescent="0.75">
      <c r="A817" s="51">
        <v>44691</v>
      </c>
      <c r="B817" s="2">
        <v>6819.7939999999999</v>
      </c>
    </row>
    <row r="818" spans="1:2" x14ac:dyDescent="0.75">
      <c r="A818" s="51">
        <v>44692</v>
      </c>
      <c r="B818" s="2">
        <v>6816.2030000000004</v>
      </c>
    </row>
    <row r="819" spans="1:2" x14ac:dyDescent="0.75">
      <c r="A819" s="51">
        <v>44693</v>
      </c>
      <c r="B819" s="2">
        <v>6599.84</v>
      </c>
    </row>
    <row r="820" spans="1:2" x14ac:dyDescent="0.75">
      <c r="A820" s="51">
        <v>44694</v>
      </c>
      <c r="B820" s="2">
        <v>6597.9930000000004</v>
      </c>
    </row>
    <row r="821" spans="1:2" x14ac:dyDescent="0.75">
      <c r="A821" s="51">
        <v>44698</v>
      </c>
      <c r="B821" s="2">
        <v>6644.4669999999996</v>
      </c>
    </row>
    <row r="822" spans="1:2" x14ac:dyDescent="0.75">
      <c r="A822" s="51">
        <v>44699</v>
      </c>
      <c r="B822" s="2">
        <v>6793.41</v>
      </c>
    </row>
    <row r="823" spans="1:2" x14ac:dyDescent="0.75">
      <c r="A823" s="51">
        <v>44700</v>
      </c>
      <c r="B823" s="2">
        <v>6823.335</v>
      </c>
    </row>
    <row r="824" spans="1:2" x14ac:dyDescent="0.75">
      <c r="A824" s="51">
        <v>44701</v>
      </c>
      <c r="B824" s="2">
        <v>6918.1440000000002</v>
      </c>
    </row>
    <row r="825" spans="1:2" x14ac:dyDescent="0.75">
      <c r="A825" s="51">
        <v>44704</v>
      </c>
      <c r="B825" s="2">
        <v>6840.78</v>
      </c>
    </row>
    <row r="826" spans="1:2" x14ac:dyDescent="0.75">
      <c r="A826" s="51">
        <v>44705</v>
      </c>
      <c r="B826" s="2">
        <v>6914.1409999999996</v>
      </c>
    </row>
    <row r="827" spans="1:2" x14ac:dyDescent="0.75">
      <c r="A827" s="51">
        <v>44706</v>
      </c>
      <c r="B827" s="2">
        <v>6883.5039999999999</v>
      </c>
    </row>
    <row r="828" spans="1:2" x14ac:dyDescent="0.75">
      <c r="A828" s="51">
        <v>44708</v>
      </c>
      <c r="B828" s="2">
        <v>7026.2560000000003</v>
      </c>
    </row>
    <row r="829" spans="1:2" x14ac:dyDescent="0.75">
      <c r="A829" s="51">
        <v>44711</v>
      </c>
      <c r="B829" s="2">
        <v>7037.5649999999996</v>
      </c>
    </row>
    <row r="830" spans="1:2" x14ac:dyDescent="0.75">
      <c r="A830" s="51">
        <v>44712</v>
      </c>
      <c r="B830" s="2">
        <v>7148.97</v>
      </c>
    </row>
    <row r="831" spans="1:2" x14ac:dyDescent="0.75">
      <c r="A831" s="51">
        <v>44714</v>
      </c>
      <c r="B831" s="2">
        <v>7148.723</v>
      </c>
    </row>
    <row r="832" spans="1:2" x14ac:dyDescent="0.75">
      <c r="A832" s="51">
        <v>44715</v>
      </c>
      <c r="B832" s="2">
        <v>7182.9610000000002</v>
      </c>
    </row>
    <row r="833" spans="1:2" x14ac:dyDescent="0.75">
      <c r="A833" s="51">
        <v>44718</v>
      </c>
      <c r="B833" s="2">
        <v>7096.5820000000003</v>
      </c>
    </row>
    <row r="834" spans="1:2" x14ac:dyDescent="0.75">
      <c r="A834" s="51">
        <v>44719</v>
      </c>
      <c r="B834" s="2">
        <v>7141.0450000000001</v>
      </c>
    </row>
    <row r="835" spans="1:2" x14ac:dyDescent="0.75">
      <c r="A835" s="51">
        <v>44720</v>
      </c>
      <c r="B835" s="2">
        <v>7193.3140000000003</v>
      </c>
    </row>
    <row r="836" spans="1:2" x14ac:dyDescent="0.75">
      <c r="A836" s="51">
        <v>44721</v>
      </c>
      <c r="B836" s="2">
        <v>7182.83</v>
      </c>
    </row>
    <row r="837" spans="1:2" x14ac:dyDescent="0.75">
      <c r="A837" s="51">
        <v>44722</v>
      </c>
      <c r="B837" s="2">
        <v>7086.6480000000001</v>
      </c>
    </row>
    <row r="838" spans="1:2" x14ac:dyDescent="0.75">
      <c r="A838" s="51">
        <v>44725</v>
      </c>
      <c r="B838" s="2">
        <v>6995.442</v>
      </c>
    </row>
    <row r="839" spans="1:2" x14ac:dyDescent="0.75">
      <c r="A839" s="51">
        <v>44726</v>
      </c>
      <c r="B839" s="2">
        <v>7049.8819999999996</v>
      </c>
    </row>
    <row r="840" spans="1:2" x14ac:dyDescent="0.75">
      <c r="A840" s="51">
        <v>44727</v>
      </c>
      <c r="B840" s="2">
        <v>7007.05</v>
      </c>
    </row>
    <row r="841" spans="1:2" x14ac:dyDescent="0.75">
      <c r="A841" s="51">
        <v>44728</v>
      </c>
      <c r="B841" s="2">
        <v>7050.326</v>
      </c>
    </row>
    <row r="842" spans="1:2" x14ac:dyDescent="0.75">
      <c r="A842" s="51">
        <v>44729</v>
      </c>
      <c r="B842" s="2">
        <v>6936.9669999999996</v>
      </c>
    </row>
    <row r="843" spans="1:2" x14ac:dyDescent="0.75">
      <c r="A843" s="51">
        <v>44732</v>
      </c>
      <c r="B843" s="2">
        <v>6976.3770000000004</v>
      </c>
    </row>
    <row r="844" spans="1:2" x14ac:dyDescent="0.75">
      <c r="A844" s="51">
        <v>44733</v>
      </c>
      <c r="B844" s="2">
        <v>7044.0709999999999</v>
      </c>
    </row>
    <row r="845" spans="1:2" x14ac:dyDescent="0.75">
      <c r="A845" s="51">
        <v>44734</v>
      </c>
      <c r="B845" s="2">
        <v>6984.3109999999997</v>
      </c>
    </row>
    <row r="846" spans="1:2" x14ac:dyDescent="0.75">
      <c r="A846" s="51">
        <v>44735</v>
      </c>
      <c r="B846" s="2">
        <v>6998.2669999999998</v>
      </c>
    </row>
    <row r="847" spans="1:2" x14ac:dyDescent="0.75">
      <c r="A847" s="51">
        <v>44736</v>
      </c>
      <c r="B847" s="2">
        <v>7042.9369999999999</v>
      </c>
    </row>
    <row r="848" spans="1:2" x14ac:dyDescent="0.75">
      <c r="A848" s="51">
        <v>44739</v>
      </c>
      <c r="B848" s="2">
        <v>7016.0550000000003</v>
      </c>
    </row>
    <row r="849" spans="1:2" x14ac:dyDescent="0.75">
      <c r="A849" s="51">
        <v>44740</v>
      </c>
      <c r="B849" s="2">
        <v>6996.4560000000001</v>
      </c>
    </row>
    <row r="850" spans="1:2" x14ac:dyDescent="0.75">
      <c r="A850" s="51">
        <v>44741</v>
      </c>
      <c r="B850" s="2">
        <v>6942.3509999999997</v>
      </c>
    </row>
    <row r="851" spans="1:2" x14ac:dyDescent="0.75">
      <c r="A851" s="51">
        <v>44742</v>
      </c>
      <c r="B851" s="2">
        <v>6911.5820000000003</v>
      </c>
    </row>
    <row r="852" spans="1:2" x14ac:dyDescent="0.75">
      <c r="A852" s="51">
        <v>44743</v>
      </c>
      <c r="B852" s="2">
        <v>6794.3280000000004</v>
      </c>
    </row>
    <row r="853" spans="1:2" x14ac:dyDescent="0.75">
      <c r="A853" s="51">
        <v>44746</v>
      </c>
      <c r="B853" s="2">
        <v>6639.1719999999996</v>
      </c>
    </row>
    <row r="854" spans="1:2" x14ac:dyDescent="0.75">
      <c r="A854" s="51">
        <v>44747</v>
      </c>
      <c r="B854" s="2">
        <v>6703.2659999999996</v>
      </c>
    </row>
    <row r="855" spans="1:2" x14ac:dyDescent="0.75">
      <c r="A855" s="51">
        <v>44748</v>
      </c>
      <c r="B855" s="2">
        <v>6646.41</v>
      </c>
    </row>
    <row r="856" spans="1:2" x14ac:dyDescent="0.75">
      <c r="A856" s="51">
        <v>44749</v>
      </c>
      <c r="B856" s="2">
        <v>6652.5870000000004</v>
      </c>
    </row>
    <row r="857" spans="1:2" x14ac:dyDescent="0.75">
      <c r="A857" s="51">
        <v>44750</v>
      </c>
      <c r="B857" s="2">
        <v>6740.2190000000001</v>
      </c>
    </row>
    <row r="858" spans="1:2" x14ac:dyDescent="0.75">
      <c r="A858" s="51">
        <v>44753</v>
      </c>
      <c r="B858" s="2">
        <v>6722.1450000000004</v>
      </c>
    </row>
    <row r="859" spans="1:2" x14ac:dyDescent="0.75">
      <c r="A859" s="51">
        <v>44754</v>
      </c>
      <c r="B859" s="2">
        <v>6718.2939999999999</v>
      </c>
    </row>
    <row r="860" spans="1:2" x14ac:dyDescent="0.75">
      <c r="A860" s="51">
        <v>44755</v>
      </c>
      <c r="B860" s="2">
        <v>6640.99</v>
      </c>
    </row>
    <row r="861" spans="1:2" x14ac:dyDescent="0.75">
      <c r="A861" s="51">
        <v>44756</v>
      </c>
      <c r="B861" s="2">
        <v>6690.0870000000004</v>
      </c>
    </row>
    <row r="862" spans="1:2" x14ac:dyDescent="0.75">
      <c r="A862" s="51">
        <v>44757</v>
      </c>
      <c r="B862" s="2">
        <v>6651.9049999999997</v>
      </c>
    </row>
    <row r="863" spans="1:2" x14ac:dyDescent="0.75">
      <c r="A863" s="51">
        <v>44760</v>
      </c>
      <c r="B863" s="2">
        <v>6659.2529999999997</v>
      </c>
    </row>
    <row r="864" spans="1:2" x14ac:dyDescent="0.75">
      <c r="A864" s="51">
        <v>44761</v>
      </c>
      <c r="B864" s="2">
        <v>6736.0919999999996</v>
      </c>
    </row>
    <row r="865" spans="1:2" x14ac:dyDescent="0.75">
      <c r="A865" s="51">
        <v>44762</v>
      </c>
      <c r="B865" s="2">
        <v>6874.7430000000004</v>
      </c>
    </row>
    <row r="866" spans="1:2" x14ac:dyDescent="0.75">
      <c r="A866" s="51">
        <v>44763</v>
      </c>
      <c r="B866" s="2">
        <v>6864.1310000000003</v>
      </c>
    </row>
    <row r="867" spans="1:2" x14ac:dyDescent="0.75">
      <c r="A867" s="51">
        <v>44764</v>
      </c>
      <c r="B867" s="2">
        <v>6886.9620000000004</v>
      </c>
    </row>
    <row r="868" spans="1:2" x14ac:dyDescent="0.75">
      <c r="A868" s="51">
        <v>44767</v>
      </c>
      <c r="B868" s="2">
        <v>6858.4070000000002</v>
      </c>
    </row>
    <row r="869" spans="1:2" x14ac:dyDescent="0.75">
      <c r="A869" s="51">
        <v>44768</v>
      </c>
      <c r="B869" s="2">
        <v>6871.5370000000003</v>
      </c>
    </row>
    <row r="870" spans="1:2" x14ac:dyDescent="0.75">
      <c r="A870" s="51">
        <v>44769</v>
      </c>
      <c r="B870" s="2">
        <v>6898.2160000000003</v>
      </c>
    </row>
    <row r="871" spans="1:2" x14ac:dyDescent="0.75">
      <c r="A871" s="51">
        <v>44770</v>
      </c>
      <c r="B871" s="2">
        <v>6956.817</v>
      </c>
    </row>
    <row r="872" spans="1:2" x14ac:dyDescent="0.75">
      <c r="A872" s="51">
        <v>44771</v>
      </c>
      <c r="B872" s="2">
        <v>6951.1229999999996</v>
      </c>
    </row>
    <row r="873" spans="1:2" x14ac:dyDescent="0.75">
      <c r="A873" s="51">
        <v>44774</v>
      </c>
      <c r="B873" s="2">
        <v>6968.7830000000004</v>
      </c>
    </row>
    <row r="874" spans="1:2" x14ac:dyDescent="0.75">
      <c r="A874" s="51">
        <v>44775</v>
      </c>
      <c r="B874" s="2">
        <v>6988.1570000000002</v>
      </c>
    </row>
    <row r="875" spans="1:2" x14ac:dyDescent="0.75">
      <c r="A875" s="51">
        <v>44776</v>
      </c>
      <c r="B875" s="2">
        <v>7046.6350000000002</v>
      </c>
    </row>
    <row r="876" spans="1:2" x14ac:dyDescent="0.75">
      <c r="A876" s="51">
        <v>44777</v>
      </c>
      <c r="B876" s="2">
        <v>7057.348</v>
      </c>
    </row>
    <row r="877" spans="1:2" x14ac:dyDescent="0.75">
      <c r="A877" s="51">
        <v>44778</v>
      </c>
      <c r="B877" s="2">
        <v>7084.6549999999997</v>
      </c>
    </row>
    <row r="878" spans="1:2" x14ac:dyDescent="0.75">
      <c r="A878" s="51">
        <v>44781</v>
      </c>
      <c r="B878" s="2">
        <v>7086.8490000000002</v>
      </c>
    </row>
    <row r="879" spans="1:2" x14ac:dyDescent="0.75">
      <c r="A879" s="51">
        <v>44782</v>
      </c>
      <c r="B879" s="2">
        <v>7102.88</v>
      </c>
    </row>
    <row r="880" spans="1:2" x14ac:dyDescent="0.75">
      <c r="A880" s="51">
        <v>44783</v>
      </c>
      <c r="B880" s="2">
        <v>7086.2359999999999</v>
      </c>
    </row>
    <row r="881" spans="1:2" x14ac:dyDescent="0.75">
      <c r="A881" s="51">
        <v>44784</v>
      </c>
      <c r="B881" s="2">
        <v>7160.3850000000002</v>
      </c>
    </row>
    <row r="882" spans="1:2" x14ac:dyDescent="0.75">
      <c r="A882" s="51">
        <v>44785</v>
      </c>
      <c r="B882" s="2">
        <v>7129.277</v>
      </c>
    </row>
    <row r="883" spans="1:2" x14ac:dyDescent="0.75">
      <c r="A883" s="51">
        <v>44788</v>
      </c>
      <c r="B883" s="2">
        <v>7093.2759999999998</v>
      </c>
    </row>
    <row r="884" spans="1:2" x14ac:dyDescent="0.75">
      <c r="A884" s="51">
        <v>44789</v>
      </c>
      <c r="B884" s="2">
        <v>7133.4530000000004</v>
      </c>
    </row>
    <row r="885" spans="1:2" x14ac:dyDescent="0.75">
      <c r="A885" s="51">
        <v>44791</v>
      </c>
      <c r="B885" s="2">
        <v>7186.558</v>
      </c>
    </row>
    <row r="886" spans="1:2" x14ac:dyDescent="0.75">
      <c r="A886" s="51">
        <v>44792</v>
      </c>
      <c r="B886" s="2">
        <v>7172.4340000000002</v>
      </c>
    </row>
    <row r="887" spans="1:2" x14ac:dyDescent="0.75">
      <c r="A887" s="51">
        <v>44795</v>
      </c>
      <c r="B887" s="2">
        <v>7107.9830000000002</v>
      </c>
    </row>
    <row r="888" spans="1:2" x14ac:dyDescent="0.75">
      <c r="A888" s="51">
        <v>44796</v>
      </c>
      <c r="B888" s="2">
        <v>7163.2650000000003</v>
      </c>
    </row>
    <row r="889" spans="1:2" x14ac:dyDescent="0.75">
      <c r="A889" s="51">
        <v>44797</v>
      </c>
      <c r="B889" s="2">
        <v>7194.7060000000001</v>
      </c>
    </row>
    <row r="890" spans="1:2" x14ac:dyDescent="0.75">
      <c r="A890" s="51">
        <v>44798</v>
      </c>
      <c r="B890" s="2">
        <v>7174.2079999999996</v>
      </c>
    </row>
    <row r="891" spans="1:2" x14ac:dyDescent="0.75">
      <c r="A891" s="51">
        <v>44799</v>
      </c>
      <c r="B891" s="2">
        <v>7135.2479999999996</v>
      </c>
    </row>
    <row r="892" spans="1:2" x14ac:dyDescent="0.75">
      <c r="A892" s="51">
        <v>44802</v>
      </c>
      <c r="B892" s="2">
        <v>7132.0450000000001</v>
      </c>
    </row>
    <row r="893" spans="1:2" x14ac:dyDescent="0.75">
      <c r="A893" s="51">
        <v>44803</v>
      </c>
      <c r="B893" s="2">
        <v>7159.473</v>
      </c>
    </row>
    <row r="894" spans="1:2" x14ac:dyDescent="0.75">
      <c r="A894" s="51">
        <v>44804</v>
      </c>
      <c r="B894" s="2">
        <v>7178.59</v>
      </c>
    </row>
    <row r="895" spans="1:2" x14ac:dyDescent="0.75">
      <c r="A895" s="51">
        <v>44805</v>
      </c>
      <c r="B895" s="2">
        <v>7153.1040000000003</v>
      </c>
    </row>
    <row r="896" spans="1:2" x14ac:dyDescent="0.75">
      <c r="A896" s="51">
        <v>44806</v>
      </c>
      <c r="B896" s="2">
        <v>7177.1790000000001</v>
      </c>
    </row>
    <row r="897" spans="1:2" x14ac:dyDescent="0.75">
      <c r="A897" s="51">
        <v>44809</v>
      </c>
      <c r="B897" s="2">
        <v>7231.8829999999998</v>
      </c>
    </row>
    <row r="898" spans="1:2" x14ac:dyDescent="0.75">
      <c r="A898" s="51">
        <v>44810</v>
      </c>
      <c r="B898" s="2">
        <v>7233.1549999999997</v>
      </c>
    </row>
    <row r="899" spans="1:2" x14ac:dyDescent="0.75">
      <c r="A899" s="51">
        <v>44811</v>
      </c>
      <c r="B899" s="2">
        <v>7186.7569999999996</v>
      </c>
    </row>
    <row r="900" spans="1:2" x14ac:dyDescent="0.75">
      <c r="A900" s="51">
        <v>44812</v>
      </c>
      <c r="B900" s="2">
        <v>7232.0169999999998</v>
      </c>
    </row>
    <row r="901" spans="1:2" x14ac:dyDescent="0.75">
      <c r="A901" s="51">
        <v>44813</v>
      </c>
      <c r="B901" s="2">
        <v>7242.6559999999999</v>
      </c>
    </row>
    <row r="902" spans="1:2" x14ac:dyDescent="0.75">
      <c r="A902" s="51">
        <v>44816</v>
      </c>
      <c r="B902" s="2">
        <v>7254.4639999999999</v>
      </c>
    </row>
    <row r="903" spans="1:2" x14ac:dyDescent="0.75">
      <c r="A903" s="51">
        <v>44817</v>
      </c>
      <c r="B903" s="2">
        <v>7318.0159999999996</v>
      </c>
    </row>
    <row r="904" spans="1:2" x14ac:dyDescent="0.75">
      <c r="A904" s="51">
        <v>44818</v>
      </c>
      <c r="B904" s="2">
        <v>7278.0780000000004</v>
      </c>
    </row>
    <row r="905" spans="1:2" x14ac:dyDescent="0.75">
      <c r="A905" s="51">
        <v>44819</v>
      </c>
      <c r="B905" s="2">
        <v>7305.6009999999997</v>
      </c>
    </row>
    <row r="906" spans="1:2" x14ac:dyDescent="0.75">
      <c r="A906" s="51">
        <v>44820</v>
      </c>
      <c r="B906" s="2">
        <v>7168.87</v>
      </c>
    </row>
    <row r="907" spans="1:2" x14ac:dyDescent="0.75">
      <c r="A907" s="51">
        <v>44823</v>
      </c>
      <c r="B907" s="2">
        <v>7195.4880000000003</v>
      </c>
    </row>
    <row r="908" spans="1:2" x14ac:dyDescent="0.75">
      <c r="A908" s="51">
        <v>44824</v>
      </c>
      <c r="B908" s="2">
        <v>7196.951</v>
      </c>
    </row>
    <row r="909" spans="1:2" x14ac:dyDescent="0.75">
      <c r="A909" s="51">
        <v>44825</v>
      </c>
      <c r="B909" s="2">
        <v>7188.3140000000003</v>
      </c>
    </row>
    <row r="910" spans="1:2" x14ac:dyDescent="0.75">
      <c r="A910" s="51">
        <v>44826</v>
      </c>
      <c r="B910" s="2">
        <v>7218.9059999999999</v>
      </c>
    </row>
    <row r="911" spans="1:2" x14ac:dyDescent="0.75">
      <c r="A911" s="51">
        <v>44827</v>
      </c>
      <c r="B911" s="2">
        <v>7178.5829999999996</v>
      </c>
    </row>
    <row r="912" spans="1:2" x14ac:dyDescent="0.75">
      <c r="A912" s="51">
        <v>44830</v>
      </c>
      <c r="B912" s="2">
        <v>7127.5029999999997</v>
      </c>
    </row>
    <row r="913" spans="1:2" x14ac:dyDescent="0.75">
      <c r="A913" s="51">
        <v>44831</v>
      </c>
      <c r="B913" s="2">
        <v>7112.4489999999996</v>
      </c>
    </row>
    <row r="914" spans="1:2" x14ac:dyDescent="0.75">
      <c r="A914" s="51">
        <v>44832</v>
      </c>
      <c r="B914" s="2">
        <v>7077.0309999999999</v>
      </c>
    </row>
    <row r="915" spans="1:2" x14ac:dyDescent="0.75">
      <c r="A915" s="51">
        <v>44833</v>
      </c>
      <c r="B915" s="2">
        <v>7036.1980000000003</v>
      </c>
    </row>
    <row r="916" spans="1:2" x14ac:dyDescent="0.75">
      <c r="A916" s="51">
        <v>44834</v>
      </c>
      <c r="B916" s="2">
        <v>7040.7979999999998</v>
      </c>
    </row>
    <row r="917" spans="1:2" x14ac:dyDescent="0.75">
      <c r="A917" s="51">
        <v>44837</v>
      </c>
      <c r="B917" s="2">
        <v>7009.7179999999998</v>
      </c>
    </row>
    <row r="918" spans="1:2" x14ac:dyDescent="0.75">
      <c r="A918" s="51">
        <v>44838</v>
      </c>
      <c r="B918" s="2">
        <v>7072.2560000000003</v>
      </c>
    </row>
    <row r="919" spans="1:2" x14ac:dyDescent="0.75">
      <c r="A919" s="51">
        <v>44839</v>
      </c>
      <c r="B919" s="2">
        <v>7075.3850000000002</v>
      </c>
    </row>
    <row r="920" spans="1:2" x14ac:dyDescent="0.75">
      <c r="A920" s="51">
        <v>44840</v>
      </c>
      <c r="B920" s="2">
        <v>7076.6229999999996</v>
      </c>
    </row>
    <row r="921" spans="1:2" x14ac:dyDescent="0.75">
      <c r="A921" s="51">
        <v>44841</v>
      </c>
      <c r="B921" s="2">
        <v>7026.7830000000004</v>
      </c>
    </row>
    <row r="922" spans="1:2" x14ac:dyDescent="0.75">
      <c r="A922" s="51">
        <v>44844</v>
      </c>
      <c r="B922" s="2">
        <v>6994.3950000000004</v>
      </c>
    </row>
    <row r="923" spans="1:2" x14ac:dyDescent="0.75">
      <c r="A923" s="51">
        <v>44845</v>
      </c>
      <c r="B923" s="2">
        <v>6939.1450000000004</v>
      </c>
    </row>
    <row r="924" spans="1:2" x14ac:dyDescent="0.75">
      <c r="A924" s="51">
        <v>44846</v>
      </c>
      <c r="B924" s="2">
        <v>6909.2089999999998</v>
      </c>
    </row>
    <row r="925" spans="1:2" x14ac:dyDescent="0.75">
      <c r="A925" s="51">
        <v>44847</v>
      </c>
      <c r="B925" s="2">
        <v>6880.625</v>
      </c>
    </row>
    <row r="926" spans="1:2" x14ac:dyDescent="0.75">
      <c r="A926" s="51">
        <v>44848</v>
      </c>
      <c r="B926" s="2">
        <v>6814.53</v>
      </c>
    </row>
    <row r="927" spans="1:2" x14ac:dyDescent="0.75">
      <c r="A927" s="51">
        <v>44851</v>
      </c>
      <c r="B927" s="2">
        <v>6831.1149999999998</v>
      </c>
    </row>
    <row r="928" spans="1:2" x14ac:dyDescent="0.75">
      <c r="A928" s="51">
        <v>44852</v>
      </c>
      <c r="B928" s="2">
        <v>6834.4939999999997</v>
      </c>
    </row>
    <row r="929" spans="1:2" x14ac:dyDescent="0.75">
      <c r="A929" s="51">
        <v>44853</v>
      </c>
      <c r="B929" s="2">
        <v>6860.4160000000002</v>
      </c>
    </row>
    <row r="930" spans="1:2" x14ac:dyDescent="0.75">
      <c r="A930" s="51">
        <v>44854</v>
      </c>
      <c r="B930" s="2">
        <v>6980.652</v>
      </c>
    </row>
    <row r="931" spans="1:2" x14ac:dyDescent="0.75">
      <c r="A931" s="51">
        <v>44855</v>
      </c>
      <c r="B931" s="2">
        <v>7017.7709999999997</v>
      </c>
    </row>
    <row r="932" spans="1:2" x14ac:dyDescent="0.75">
      <c r="A932" s="51">
        <v>44858</v>
      </c>
      <c r="B932" s="2">
        <v>7053.0439999999999</v>
      </c>
    </row>
    <row r="933" spans="1:2" x14ac:dyDescent="0.75">
      <c r="A933" s="51">
        <v>44859</v>
      </c>
      <c r="B933" s="2">
        <v>7048.38</v>
      </c>
    </row>
    <row r="934" spans="1:2" x14ac:dyDescent="0.75">
      <c r="A934" s="51">
        <v>44860</v>
      </c>
      <c r="B934" s="2">
        <v>7043.9390000000003</v>
      </c>
    </row>
    <row r="935" spans="1:2" x14ac:dyDescent="0.75">
      <c r="A935" s="51">
        <v>44861</v>
      </c>
      <c r="B935" s="2">
        <v>7091.7610000000004</v>
      </c>
    </row>
    <row r="936" spans="1:2" x14ac:dyDescent="0.75">
      <c r="A936" s="51">
        <v>44862</v>
      </c>
      <c r="B936" s="2">
        <v>7056.04</v>
      </c>
    </row>
    <row r="937" spans="1:2" x14ac:dyDescent="0.75">
      <c r="A937" s="51">
        <v>44865</v>
      </c>
      <c r="B937" s="2">
        <v>7098.89</v>
      </c>
    </row>
    <row r="938" spans="1:2" x14ac:dyDescent="0.75">
      <c r="A938" s="51">
        <v>44866</v>
      </c>
      <c r="B938" s="2">
        <v>7052.3029999999999</v>
      </c>
    </row>
    <row r="939" spans="1:2" x14ac:dyDescent="0.75">
      <c r="A939" s="51">
        <v>44867</v>
      </c>
      <c r="B939" s="2">
        <v>7015.69</v>
      </c>
    </row>
    <row r="940" spans="1:2" x14ac:dyDescent="0.75">
      <c r="A940" s="51">
        <v>44868</v>
      </c>
      <c r="B940" s="2">
        <v>7034.5730000000003</v>
      </c>
    </row>
    <row r="941" spans="1:2" x14ac:dyDescent="0.75">
      <c r="A941" s="51">
        <v>44869</v>
      </c>
      <c r="B941" s="2">
        <v>7045.527</v>
      </c>
    </row>
    <row r="942" spans="1:2" x14ac:dyDescent="0.75">
      <c r="A942" s="51">
        <v>44872</v>
      </c>
      <c r="B942" s="2">
        <v>7102.3959999999997</v>
      </c>
    </row>
    <row r="943" spans="1:2" x14ac:dyDescent="0.75">
      <c r="A943" s="51">
        <v>44873</v>
      </c>
      <c r="B943" s="2">
        <v>7050.1260000000002</v>
      </c>
    </row>
    <row r="944" spans="1:2" x14ac:dyDescent="0.75">
      <c r="A944" s="51">
        <v>44874</v>
      </c>
      <c r="B944" s="2">
        <v>7070.0839999999998</v>
      </c>
    </row>
    <row r="945" spans="1:2" x14ac:dyDescent="0.75">
      <c r="A945" s="51">
        <v>44875</v>
      </c>
      <c r="B945" s="2">
        <v>6966.8370000000004</v>
      </c>
    </row>
    <row r="946" spans="1:2" x14ac:dyDescent="0.75">
      <c r="A946" s="51">
        <v>44876</v>
      </c>
      <c r="B946" s="2">
        <v>7089.2060000000001</v>
      </c>
    </row>
    <row r="947" spans="1:2" x14ac:dyDescent="0.75">
      <c r="A947" s="51">
        <v>44879</v>
      </c>
      <c r="B947" s="2">
        <v>7019.3919999999998</v>
      </c>
    </row>
    <row r="948" spans="1:2" x14ac:dyDescent="0.75">
      <c r="A948" s="51">
        <v>44880</v>
      </c>
      <c r="B948" s="2">
        <v>7035.5</v>
      </c>
    </row>
    <row r="949" spans="1:2" x14ac:dyDescent="0.75">
      <c r="A949" s="51">
        <v>44881</v>
      </c>
      <c r="B949" s="2">
        <v>7014.384</v>
      </c>
    </row>
    <row r="950" spans="1:2" x14ac:dyDescent="0.75">
      <c r="A950" s="51">
        <v>44882</v>
      </c>
      <c r="B950" s="2">
        <v>7044.9859999999999</v>
      </c>
    </row>
    <row r="951" spans="1:2" x14ac:dyDescent="0.75">
      <c r="A951" s="51">
        <v>44883</v>
      </c>
      <c r="B951" s="2">
        <v>7082.1809999999996</v>
      </c>
    </row>
    <row r="952" spans="1:2" x14ac:dyDescent="0.75">
      <c r="A952" s="51">
        <v>44886</v>
      </c>
      <c r="B952" s="2">
        <v>7063.2470000000003</v>
      </c>
    </row>
    <row r="953" spans="1:2" x14ac:dyDescent="0.75">
      <c r="A953" s="51">
        <v>44887</v>
      </c>
      <c r="B953" s="2">
        <v>7030.5879999999997</v>
      </c>
    </row>
    <row r="954" spans="1:2" x14ac:dyDescent="0.75">
      <c r="A954" s="51">
        <v>44888</v>
      </c>
      <c r="B954" s="2">
        <v>7054.1229999999996</v>
      </c>
    </row>
    <row r="955" spans="1:2" x14ac:dyDescent="0.75">
      <c r="A955" s="51">
        <v>44889</v>
      </c>
      <c r="B955" s="2">
        <v>7080.5150000000003</v>
      </c>
    </row>
    <row r="956" spans="1:2" x14ac:dyDescent="0.75">
      <c r="A956" s="51">
        <v>44890</v>
      </c>
      <c r="B956" s="2">
        <v>7053.15</v>
      </c>
    </row>
    <row r="957" spans="1:2" x14ac:dyDescent="0.75">
      <c r="A957" s="51">
        <v>44893</v>
      </c>
      <c r="B957" s="2">
        <v>7017.3580000000002</v>
      </c>
    </row>
    <row r="958" spans="1:2" x14ac:dyDescent="0.75">
      <c r="A958" s="51">
        <v>44894</v>
      </c>
      <c r="B958" s="2">
        <v>7012.0690000000004</v>
      </c>
    </row>
    <row r="959" spans="1:2" x14ac:dyDescent="0.75">
      <c r="A959" s="51">
        <v>44895</v>
      </c>
      <c r="B959" s="2">
        <v>7081.3130000000001</v>
      </c>
    </row>
    <row r="960" spans="1:2" x14ac:dyDescent="0.75">
      <c r="A960" s="51">
        <v>44896</v>
      </c>
      <c r="B960" s="2">
        <v>7020.8029999999999</v>
      </c>
    </row>
    <row r="961" spans="1:2" x14ac:dyDescent="0.75">
      <c r="A961" s="51">
        <v>44897</v>
      </c>
      <c r="B961" s="2">
        <v>7019.6390000000001</v>
      </c>
    </row>
    <row r="962" spans="1:2" x14ac:dyDescent="0.75">
      <c r="A962" s="51">
        <v>44900</v>
      </c>
      <c r="B962" s="2">
        <v>6987.3280000000004</v>
      </c>
    </row>
    <row r="963" spans="1:2" x14ac:dyDescent="0.75">
      <c r="A963" s="51">
        <v>44901</v>
      </c>
      <c r="B963" s="2">
        <v>6892.57</v>
      </c>
    </row>
    <row r="964" spans="1:2" x14ac:dyDescent="0.75">
      <c r="A964" s="51">
        <v>44902</v>
      </c>
      <c r="B964" s="2">
        <v>6818.75</v>
      </c>
    </row>
    <row r="965" spans="1:2" x14ac:dyDescent="0.75">
      <c r="A965" s="51">
        <v>44903</v>
      </c>
      <c r="B965" s="2">
        <v>6804.2269999999999</v>
      </c>
    </row>
    <row r="966" spans="1:2" x14ac:dyDescent="0.75">
      <c r="A966" s="51">
        <v>44904</v>
      </c>
      <c r="B966" s="2">
        <v>6715.12</v>
      </c>
    </row>
    <row r="967" spans="1:2" x14ac:dyDescent="0.75">
      <c r="A967" s="51">
        <v>44907</v>
      </c>
      <c r="B967" s="2">
        <v>6734.4520000000002</v>
      </c>
    </row>
    <row r="968" spans="1:2" x14ac:dyDescent="0.75">
      <c r="A968" s="51">
        <v>44908</v>
      </c>
      <c r="B968" s="2">
        <v>6810.3159999999998</v>
      </c>
    </row>
    <row r="969" spans="1:2" x14ac:dyDescent="0.75">
      <c r="A969" s="51">
        <v>44909</v>
      </c>
      <c r="B969" s="2">
        <v>6801.7489999999998</v>
      </c>
    </row>
    <row r="970" spans="1:2" x14ac:dyDescent="0.75">
      <c r="A970" s="51">
        <v>44910</v>
      </c>
      <c r="B970" s="2">
        <v>6751.86</v>
      </c>
    </row>
    <row r="971" spans="1:2" x14ac:dyDescent="0.75">
      <c r="A971" s="51">
        <v>44911</v>
      </c>
      <c r="B971" s="2">
        <v>6812.19</v>
      </c>
    </row>
    <row r="972" spans="1:2" x14ac:dyDescent="0.75">
      <c r="A972" s="51">
        <v>44914</v>
      </c>
      <c r="B972" s="2">
        <v>6779.6980000000003</v>
      </c>
    </row>
    <row r="973" spans="1:2" x14ac:dyDescent="0.75">
      <c r="A973" s="51">
        <v>44915</v>
      </c>
      <c r="B973" s="2">
        <v>6768.3159999999998</v>
      </c>
    </row>
    <row r="974" spans="1:2" x14ac:dyDescent="0.75">
      <c r="A974" s="51">
        <v>44916</v>
      </c>
      <c r="B974" s="2">
        <v>6820.6629999999996</v>
      </c>
    </row>
    <row r="975" spans="1:2" x14ac:dyDescent="0.75">
      <c r="A975" s="51">
        <v>44917</v>
      </c>
      <c r="B975" s="2">
        <v>6824.4319999999998</v>
      </c>
    </row>
    <row r="976" spans="1:2" x14ac:dyDescent="0.75">
      <c r="A976" s="51">
        <v>44918</v>
      </c>
      <c r="B976" s="2">
        <v>6800.6729999999998</v>
      </c>
    </row>
    <row r="977" spans="1:2" x14ac:dyDescent="0.75">
      <c r="A977" s="51">
        <v>44921</v>
      </c>
      <c r="B977" s="2">
        <v>6835.808</v>
      </c>
    </row>
    <row r="978" spans="1:2" x14ac:dyDescent="0.75">
      <c r="A978" s="51">
        <v>44922</v>
      </c>
      <c r="B978" s="2">
        <v>6923.027</v>
      </c>
    </row>
    <row r="979" spans="1:2" x14ac:dyDescent="0.75">
      <c r="A979" s="51">
        <v>44923</v>
      </c>
      <c r="B979" s="2">
        <v>6850.52</v>
      </c>
    </row>
    <row r="980" spans="1:2" x14ac:dyDescent="0.75">
      <c r="A980" s="51">
        <v>44924</v>
      </c>
      <c r="B980" s="2">
        <v>6860.0770000000002</v>
      </c>
    </row>
    <row r="981" spans="1:2" x14ac:dyDescent="0.75">
      <c r="A981" s="51">
        <v>44925</v>
      </c>
      <c r="B981" s="2">
        <v>6850.62</v>
      </c>
    </row>
    <row r="982" spans="1:2" x14ac:dyDescent="0.75">
      <c r="A982" s="51">
        <v>44928</v>
      </c>
      <c r="B982" s="2">
        <v>6850.9840000000004</v>
      </c>
    </row>
    <row r="983" spans="1:2" x14ac:dyDescent="0.75">
      <c r="A983" s="51">
        <v>44929</v>
      </c>
      <c r="B983" s="2">
        <v>6888.7579999999998</v>
      </c>
    </row>
    <row r="984" spans="1:2" x14ac:dyDescent="0.75">
      <c r="A984" s="51">
        <v>44930</v>
      </c>
      <c r="B984" s="2">
        <v>6813.2389999999996</v>
      </c>
    </row>
    <row r="985" spans="1:2" x14ac:dyDescent="0.75">
      <c r="A985" s="51">
        <v>44931</v>
      </c>
      <c r="B985" s="2">
        <v>6653.8410000000003</v>
      </c>
    </row>
    <row r="986" spans="1:2" x14ac:dyDescent="0.75">
      <c r="A986" s="51">
        <v>44932</v>
      </c>
      <c r="B986" s="2">
        <v>6684.558</v>
      </c>
    </row>
    <row r="987" spans="1:2" x14ac:dyDescent="0.75">
      <c r="A987" s="51">
        <v>44935</v>
      </c>
      <c r="B987" s="2">
        <v>6688.2650000000003</v>
      </c>
    </row>
    <row r="988" spans="1:2" x14ac:dyDescent="0.75">
      <c r="A988" s="51">
        <v>44936</v>
      </c>
      <c r="B988" s="2">
        <v>6622.4989999999998</v>
      </c>
    </row>
    <row r="989" spans="1:2" x14ac:dyDescent="0.75">
      <c r="A989" s="51">
        <v>44937</v>
      </c>
      <c r="B989" s="2">
        <v>6584.4530000000004</v>
      </c>
    </row>
    <row r="990" spans="1:2" x14ac:dyDescent="0.75">
      <c r="A990" s="51">
        <v>44938</v>
      </c>
      <c r="B990" s="2">
        <v>6629.9340000000002</v>
      </c>
    </row>
    <row r="991" spans="1:2" x14ac:dyDescent="0.75">
      <c r="A991" s="51">
        <v>44939</v>
      </c>
      <c r="B991" s="2">
        <v>6641.83</v>
      </c>
    </row>
    <row r="992" spans="1:2" x14ac:dyDescent="0.75">
      <c r="A992" s="51">
        <v>44942</v>
      </c>
      <c r="B992" s="2">
        <v>6688.0569999999998</v>
      </c>
    </row>
    <row r="993" spans="1:2" x14ac:dyDescent="0.75">
      <c r="A993" s="51">
        <v>44943</v>
      </c>
      <c r="B993" s="2">
        <v>6767.34</v>
      </c>
    </row>
    <row r="994" spans="1:2" x14ac:dyDescent="0.75">
      <c r="A994" s="51">
        <v>44944</v>
      </c>
      <c r="B994" s="2">
        <v>6765.7860000000001</v>
      </c>
    </row>
    <row r="995" spans="1:2" x14ac:dyDescent="0.75">
      <c r="A995" s="51">
        <v>44945</v>
      </c>
      <c r="B995" s="2">
        <v>6819.9070000000002</v>
      </c>
    </row>
    <row r="996" spans="1:2" x14ac:dyDescent="0.75">
      <c r="A996" s="51">
        <v>44946</v>
      </c>
      <c r="B996" s="2">
        <v>6874.9309999999996</v>
      </c>
    </row>
    <row r="997" spans="1:2" x14ac:dyDescent="0.75">
      <c r="A997" s="51">
        <v>44950</v>
      </c>
      <c r="B997" s="2">
        <v>6860.8540000000003</v>
      </c>
    </row>
    <row r="998" spans="1:2" x14ac:dyDescent="0.75">
      <c r="A998" s="51">
        <v>44951</v>
      </c>
      <c r="B998" s="2">
        <v>6829.93</v>
      </c>
    </row>
    <row r="999" spans="1:2" x14ac:dyDescent="0.75">
      <c r="A999" s="51">
        <v>44952</v>
      </c>
      <c r="B999" s="2">
        <v>6864.8180000000002</v>
      </c>
    </row>
    <row r="1000" spans="1:2" x14ac:dyDescent="0.75">
      <c r="A1000" s="51">
        <v>44953</v>
      </c>
      <c r="B1000" s="2">
        <v>6898.9809999999998</v>
      </c>
    </row>
    <row r="1001" spans="1:2" x14ac:dyDescent="0.75">
      <c r="A1001" s="51">
        <v>44956</v>
      </c>
      <c r="B1001" s="2">
        <v>6872.4809999999998</v>
      </c>
    </row>
    <row r="1002" spans="1:2" x14ac:dyDescent="0.75">
      <c r="A1002" s="51">
        <v>44957</v>
      </c>
      <c r="B1002" s="2">
        <v>6839.3419999999996</v>
      </c>
    </row>
    <row r="1003" spans="1:2" x14ac:dyDescent="0.75">
      <c r="A1003" s="51">
        <v>44958</v>
      </c>
      <c r="B1003" s="2">
        <v>6862.2579999999998</v>
      </c>
    </row>
    <row r="1004" spans="1:2" x14ac:dyDescent="0.75">
      <c r="A1004" s="51">
        <v>44959</v>
      </c>
      <c r="B1004" s="2">
        <v>6890.5720000000001</v>
      </c>
    </row>
    <row r="1005" spans="1:2" x14ac:dyDescent="0.75">
      <c r="A1005" s="51">
        <v>44960</v>
      </c>
      <c r="B1005" s="2">
        <v>6911.732</v>
      </c>
    </row>
    <row r="1006" spans="1:2" x14ac:dyDescent="0.75">
      <c r="A1006" s="51">
        <v>44963</v>
      </c>
      <c r="B1006" s="2">
        <v>6873.7910000000002</v>
      </c>
    </row>
    <row r="1007" spans="1:2" x14ac:dyDescent="0.75">
      <c r="A1007" s="51">
        <v>44964</v>
      </c>
      <c r="B1007" s="2">
        <v>6935.3010000000004</v>
      </c>
    </row>
    <row r="1008" spans="1:2" x14ac:dyDescent="0.75">
      <c r="A1008" s="51">
        <v>44965</v>
      </c>
      <c r="B1008" s="2">
        <v>6940.1239999999998</v>
      </c>
    </row>
    <row r="1009" spans="1:2" x14ac:dyDescent="0.75">
      <c r="A1009" s="51">
        <v>44966</v>
      </c>
      <c r="B1009" s="2">
        <v>6897.3649999999998</v>
      </c>
    </row>
    <row r="1010" spans="1:2" x14ac:dyDescent="0.75">
      <c r="A1010" s="51">
        <v>44967</v>
      </c>
      <c r="B1010" s="2">
        <v>6880.3289999999997</v>
      </c>
    </row>
    <row r="1011" spans="1:2" x14ac:dyDescent="0.75">
      <c r="A1011" s="51">
        <v>44970</v>
      </c>
      <c r="B1011" s="2">
        <v>6900.14</v>
      </c>
    </row>
    <row r="1012" spans="1:2" x14ac:dyDescent="0.75">
      <c r="A1012" s="51">
        <v>44971</v>
      </c>
      <c r="B1012" s="2">
        <v>6941.86</v>
      </c>
    </row>
    <row r="1013" spans="1:2" x14ac:dyDescent="0.75">
      <c r="A1013" s="51">
        <v>44972</v>
      </c>
      <c r="B1013" s="2">
        <v>6914.5379999999996</v>
      </c>
    </row>
    <row r="1014" spans="1:2" x14ac:dyDescent="0.75">
      <c r="A1014" s="51">
        <v>44973</v>
      </c>
      <c r="B1014" s="2">
        <v>6895.6639999999998</v>
      </c>
    </row>
    <row r="1015" spans="1:2" x14ac:dyDescent="0.75">
      <c r="A1015" s="51">
        <v>44974</v>
      </c>
      <c r="B1015" s="2">
        <v>6895.7139999999999</v>
      </c>
    </row>
    <row r="1016" spans="1:2" x14ac:dyDescent="0.75">
      <c r="A1016" s="51">
        <v>44977</v>
      </c>
      <c r="B1016" s="2">
        <v>6894.72</v>
      </c>
    </row>
    <row r="1017" spans="1:2" x14ac:dyDescent="0.75">
      <c r="A1017" s="51">
        <v>44978</v>
      </c>
      <c r="B1017" s="2">
        <v>6873.4049999999997</v>
      </c>
    </row>
    <row r="1018" spans="1:2" x14ac:dyDescent="0.75">
      <c r="A1018" s="51">
        <v>44979</v>
      </c>
      <c r="B1018" s="2">
        <v>6809.9679999999998</v>
      </c>
    </row>
    <row r="1019" spans="1:2" x14ac:dyDescent="0.75">
      <c r="A1019" s="51">
        <v>44980</v>
      </c>
      <c r="B1019" s="2">
        <v>6839.4539999999997</v>
      </c>
    </row>
    <row r="1020" spans="1:2" x14ac:dyDescent="0.75">
      <c r="A1020" s="51">
        <v>44981</v>
      </c>
      <c r="B1020" s="2">
        <v>6856.576</v>
      </c>
    </row>
    <row r="1021" spans="1:2" x14ac:dyDescent="0.75">
      <c r="A1021" s="51">
        <v>44984</v>
      </c>
      <c r="B1021" s="2">
        <v>6854.777</v>
      </c>
    </row>
    <row r="1022" spans="1:2" x14ac:dyDescent="0.75">
      <c r="A1022" s="51">
        <v>44985</v>
      </c>
      <c r="B1022" s="2">
        <v>6843.2389999999996</v>
      </c>
    </row>
    <row r="1023" spans="1:2" x14ac:dyDescent="0.75">
      <c r="A1023" s="51">
        <v>44986</v>
      </c>
      <c r="B1023" s="2">
        <v>6844.9359999999997</v>
      </c>
    </row>
    <row r="1024" spans="1:2" x14ac:dyDescent="0.75">
      <c r="A1024" s="51">
        <v>44987</v>
      </c>
      <c r="B1024" s="2">
        <v>6857.415</v>
      </c>
    </row>
    <row r="1025" spans="1:2" x14ac:dyDescent="0.75">
      <c r="A1025" s="51">
        <v>44988</v>
      </c>
      <c r="B1025" s="2">
        <v>6813.6360000000004</v>
      </c>
    </row>
    <row r="1026" spans="1:2" x14ac:dyDescent="0.75">
      <c r="A1026" s="51">
        <v>44991</v>
      </c>
      <c r="B1026" s="2">
        <v>6807.0010000000002</v>
      </c>
    </row>
    <row r="1027" spans="1:2" x14ac:dyDescent="0.75">
      <c r="A1027" s="51">
        <v>44992</v>
      </c>
      <c r="B1027" s="2">
        <v>6766.7579999999998</v>
      </c>
    </row>
    <row r="1028" spans="1:2" x14ac:dyDescent="0.75">
      <c r="A1028" s="51">
        <v>44993</v>
      </c>
      <c r="B1028" s="2">
        <v>6776.37</v>
      </c>
    </row>
    <row r="1029" spans="1:2" x14ac:dyDescent="0.75">
      <c r="A1029" s="51">
        <v>44994</v>
      </c>
      <c r="B1029" s="2">
        <v>6799.7950000000001</v>
      </c>
    </row>
    <row r="1030" spans="1:2" x14ac:dyDescent="0.75">
      <c r="A1030" s="51">
        <v>44995</v>
      </c>
      <c r="B1030" s="2">
        <v>6765.3</v>
      </c>
    </row>
    <row r="1031" spans="1:2" x14ac:dyDescent="0.75">
      <c r="A1031" s="51">
        <v>44998</v>
      </c>
      <c r="B1031" s="2">
        <v>6786.9549999999999</v>
      </c>
    </row>
    <row r="1032" spans="1:2" x14ac:dyDescent="0.75">
      <c r="A1032" s="51">
        <v>44999</v>
      </c>
      <c r="B1032" s="2">
        <v>6641.8140000000003</v>
      </c>
    </row>
    <row r="1033" spans="1:2" x14ac:dyDescent="0.75">
      <c r="A1033" s="51">
        <v>45000</v>
      </c>
      <c r="B1033" s="2">
        <v>6628.1369999999997</v>
      </c>
    </row>
    <row r="1034" spans="1:2" x14ac:dyDescent="0.75">
      <c r="A1034" s="51">
        <v>45001</v>
      </c>
      <c r="B1034" s="2">
        <v>6565.7280000000001</v>
      </c>
    </row>
    <row r="1035" spans="1:2" x14ac:dyDescent="0.75">
      <c r="A1035" s="51">
        <v>45002</v>
      </c>
      <c r="B1035" s="2">
        <v>6678.2370000000001</v>
      </c>
    </row>
    <row r="1036" spans="1:2" x14ac:dyDescent="0.75">
      <c r="A1036" s="51">
        <v>45005</v>
      </c>
      <c r="B1036" s="2">
        <v>6612.49</v>
      </c>
    </row>
    <row r="1037" spans="1:2" x14ac:dyDescent="0.75">
      <c r="A1037" s="51">
        <v>45006</v>
      </c>
      <c r="B1037" s="2">
        <v>6691.6109999999999</v>
      </c>
    </row>
    <row r="1038" spans="1:2" x14ac:dyDescent="0.75">
      <c r="A1038" s="51">
        <v>45009</v>
      </c>
      <c r="B1038" s="2">
        <v>6762.2539999999999</v>
      </c>
    </row>
    <row r="1039" spans="1:2" x14ac:dyDescent="0.75">
      <c r="A1039" s="51">
        <v>45012</v>
      </c>
      <c r="B1039" s="2">
        <v>6708.933</v>
      </c>
    </row>
    <row r="1040" spans="1:2" x14ac:dyDescent="0.75">
      <c r="A1040" s="51">
        <v>45013</v>
      </c>
      <c r="B1040" s="2">
        <v>6760.3280000000004</v>
      </c>
    </row>
    <row r="1041" spans="1:2" x14ac:dyDescent="0.75">
      <c r="A1041" s="51">
        <v>45014</v>
      </c>
      <c r="B1041" s="2">
        <v>6839.4359999999997</v>
      </c>
    </row>
    <row r="1042" spans="1:2" x14ac:dyDescent="0.75">
      <c r="A1042" s="51">
        <v>45015</v>
      </c>
      <c r="B1042" s="2">
        <v>6808.951</v>
      </c>
    </row>
    <row r="1043" spans="1:2" x14ac:dyDescent="0.75">
      <c r="A1043" s="51">
        <v>45016</v>
      </c>
      <c r="B1043" s="2">
        <v>6805.277</v>
      </c>
    </row>
    <row r="1044" spans="1:2" x14ac:dyDescent="0.75">
      <c r="A1044" s="51">
        <v>45019</v>
      </c>
      <c r="B1044" s="2">
        <v>6827.1750000000002</v>
      </c>
    </row>
    <row r="1045" spans="1:2" x14ac:dyDescent="0.75">
      <c r="A1045" s="51">
        <v>45020</v>
      </c>
      <c r="B1045" s="2">
        <v>6833.1779999999999</v>
      </c>
    </row>
    <row r="1046" spans="1:2" x14ac:dyDescent="0.75">
      <c r="A1046" s="51">
        <v>45021</v>
      </c>
      <c r="B1046" s="2">
        <v>6819.6750000000002</v>
      </c>
    </row>
    <row r="1047" spans="1:2" x14ac:dyDescent="0.75">
      <c r="A1047" s="51">
        <v>45022</v>
      </c>
      <c r="B1047" s="2">
        <v>6792.7650000000003</v>
      </c>
    </row>
    <row r="1048" spans="1:2" x14ac:dyDescent="0.75">
      <c r="A1048" s="51">
        <v>45026</v>
      </c>
      <c r="B1048" s="2">
        <v>6771.2349999999997</v>
      </c>
    </row>
    <row r="1049" spans="1:2" x14ac:dyDescent="0.75">
      <c r="A1049" s="51">
        <v>45027</v>
      </c>
      <c r="B1049" s="2">
        <v>6811.3140000000003</v>
      </c>
    </row>
    <row r="1050" spans="1:2" x14ac:dyDescent="0.75">
      <c r="A1050" s="51">
        <v>45028</v>
      </c>
      <c r="B1050" s="2">
        <v>6798.9639999999999</v>
      </c>
    </row>
    <row r="1051" spans="1:2" x14ac:dyDescent="0.75">
      <c r="A1051" s="51">
        <v>45029</v>
      </c>
      <c r="B1051" s="2">
        <v>6785.598</v>
      </c>
    </row>
    <row r="1052" spans="1:2" x14ac:dyDescent="0.75">
      <c r="A1052" s="51">
        <v>45030</v>
      </c>
      <c r="B1052" s="2">
        <v>6818.5739999999996</v>
      </c>
    </row>
    <row r="1053" spans="1:2" x14ac:dyDescent="0.75">
      <c r="A1053" s="51">
        <v>45033</v>
      </c>
      <c r="B1053" s="2">
        <v>6787.58</v>
      </c>
    </row>
    <row r="1054" spans="1:2" x14ac:dyDescent="0.75">
      <c r="A1054" s="51">
        <v>45034</v>
      </c>
      <c r="B1054" s="2">
        <v>6821.81</v>
      </c>
    </row>
    <row r="1055" spans="1:2" x14ac:dyDescent="0.75">
      <c r="A1055" s="51">
        <v>45042</v>
      </c>
      <c r="B1055" s="2">
        <v>6910.1469999999999</v>
      </c>
    </row>
    <row r="1056" spans="1:2" x14ac:dyDescent="0.75">
      <c r="A1056" s="51">
        <v>45043</v>
      </c>
      <c r="B1056" s="2">
        <v>6945.4769999999999</v>
      </c>
    </row>
    <row r="1057" spans="1:2" x14ac:dyDescent="0.75">
      <c r="A1057" s="51">
        <v>45044</v>
      </c>
      <c r="B1057" s="2">
        <v>6915.72</v>
      </c>
    </row>
    <row r="1058" spans="1:2" x14ac:dyDescent="0.75">
      <c r="A1058" s="51">
        <v>45048</v>
      </c>
      <c r="B1058" s="2">
        <v>6863.3019999999997</v>
      </c>
    </row>
    <row r="1059" spans="1:2" x14ac:dyDescent="0.75">
      <c r="A1059" s="51">
        <v>45049</v>
      </c>
      <c r="B1059" s="2">
        <v>6812.7219999999998</v>
      </c>
    </row>
    <row r="1060" spans="1:2" x14ac:dyDescent="0.75">
      <c r="A1060" s="51">
        <v>45050</v>
      </c>
      <c r="B1060" s="2">
        <v>6844.027</v>
      </c>
    </row>
    <row r="1061" spans="1:2" x14ac:dyDescent="0.75">
      <c r="A1061" s="51">
        <v>45051</v>
      </c>
      <c r="B1061" s="2">
        <v>6787.6310000000003</v>
      </c>
    </row>
    <row r="1062" spans="1:2" x14ac:dyDescent="0.75">
      <c r="A1062" s="51">
        <v>45054</v>
      </c>
      <c r="B1062" s="2">
        <v>6769.63</v>
      </c>
    </row>
    <row r="1063" spans="1:2" x14ac:dyDescent="0.75">
      <c r="A1063" s="51">
        <v>45055</v>
      </c>
      <c r="B1063" s="2">
        <v>6779.98</v>
      </c>
    </row>
    <row r="1064" spans="1:2" x14ac:dyDescent="0.75">
      <c r="A1064" s="51">
        <v>45056</v>
      </c>
      <c r="B1064" s="2">
        <v>6811.9049999999997</v>
      </c>
    </row>
    <row r="1065" spans="1:2" x14ac:dyDescent="0.75">
      <c r="A1065" s="51">
        <v>45057</v>
      </c>
      <c r="B1065" s="2">
        <v>6755.9380000000001</v>
      </c>
    </row>
    <row r="1066" spans="1:2" x14ac:dyDescent="0.75">
      <c r="A1066" s="51">
        <v>45058</v>
      </c>
      <c r="B1066" s="2">
        <v>6707.76</v>
      </c>
    </row>
    <row r="1067" spans="1:2" x14ac:dyDescent="0.75">
      <c r="A1067" s="51">
        <v>45061</v>
      </c>
      <c r="B1067" s="2">
        <v>6711.74</v>
      </c>
    </row>
    <row r="1068" spans="1:2" x14ac:dyDescent="0.75">
      <c r="A1068" s="51">
        <v>45062</v>
      </c>
      <c r="B1068" s="2">
        <v>6676.5640000000003</v>
      </c>
    </row>
    <row r="1069" spans="1:2" x14ac:dyDescent="0.75">
      <c r="A1069" s="51">
        <v>45063</v>
      </c>
      <c r="B1069" s="2">
        <v>6663.1139999999996</v>
      </c>
    </row>
    <row r="1070" spans="1:2" x14ac:dyDescent="0.75">
      <c r="A1070" s="51">
        <v>45065</v>
      </c>
      <c r="B1070" s="2">
        <v>6700.5609999999997</v>
      </c>
    </row>
    <row r="1071" spans="1:2" x14ac:dyDescent="0.75">
      <c r="A1071" s="51">
        <v>45068</v>
      </c>
      <c r="B1071" s="2">
        <v>6729.6469999999999</v>
      </c>
    </row>
    <row r="1072" spans="1:2" x14ac:dyDescent="0.75">
      <c r="A1072" s="51">
        <v>45069</v>
      </c>
      <c r="B1072" s="2">
        <v>6736.6840000000002</v>
      </c>
    </row>
    <row r="1073" spans="1:2" x14ac:dyDescent="0.75">
      <c r="A1073" s="51">
        <v>45070</v>
      </c>
      <c r="B1073" s="2">
        <v>6745.8040000000001</v>
      </c>
    </row>
    <row r="1074" spans="1:2" x14ac:dyDescent="0.75">
      <c r="A1074" s="51">
        <v>45071</v>
      </c>
      <c r="B1074" s="2">
        <v>6704.2309999999998</v>
      </c>
    </row>
    <row r="1075" spans="1:2" x14ac:dyDescent="0.75">
      <c r="A1075" s="51">
        <v>45072</v>
      </c>
      <c r="B1075" s="2">
        <v>6687.0010000000002</v>
      </c>
    </row>
    <row r="1076" spans="1:2" x14ac:dyDescent="0.75">
      <c r="A1076" s="51">
        <v>45075</v>
      </c>
      <c r="B1076" s="2">
        <v>6681.1019999999999</v>
      </c>
    </row>
    <row r="1077" spans="1:2" x14ac:dyDescent="0.75">
      <c r="A1077" s="51">
        <v>45076</v>
      </c>
      <c r="B1077" s="2">
        <v>6636.4229999999998</v>
      </c>
    </row>
    <row r="1078" spans="1:2" x14ac:dyDescent="0.75">
      <c r="A1078" s="51">
        <v>45077</v>
      </c>
      <c r="B1078" s="2">
        <v>6633.2610000000004</v>
      </c>
    </row>
    <row r="1079" spans="1:2" x14ac:dyDescent="0.75">
      <c r="A1079" s="51">
        <v>45082</v>
      </c>
      <c r="B1079" s="2">
        <v>6633.4369999999999</v>
      </c>
    </row>
    <row r="1080" spans="1:2" x14ac:dyDescent="0.75">
      <c r="A1080" s="51">
        <v>45083</v>
      </c>
      <c r="B1080" s="2">
        <v>6618.9229999999998</v>
      </c>
    </row>
    <row r="1081" spans="1:2" x14ac:dyDescent="0.75">
      <c r="A1081" s="51">
        <v>45084</v>
      </c>
      <c r="B1081" s="2">
        <v>6619.7550000000001</v>
      </c>
    </row>
    <row r="1082" spans="1:2" x14ac:dyDescent="0.75">
      <c r="A1082" s="51">
        <v>45085</v>
      </c>
      <c r="B1082" s="2">
        <v>6666.33</v>
      </c>
    </row>
    <row r="1083" spans="1:2" x14ac:dyDescent="0.75">
      <c r="A1083" s="51">
        <v>45086</v>
      </c>
      <c r="B1083" s="2">
        <v>6694.0240000000003</v>
      </c>
    </row>
    <row r="1084" spans="1:2" x14ac:dyDescent="0.75">
      <c r="A1084" s="51">
        <v>45089</v>
      </c>
      <c r="B1084" s="2">
        <v>6722.3729999999996</v>
      </c>
    </row>
    <row r="1085" spans="1:2" x14ac:dyDescent="0.75">
      <c r="A1085" s="51">
        <v>45090</v>
      </c>
      <c r="B1085" s="2">
        <v>6719.0140000000001</v>
      </c>
    </row>
    <row r="1086" spans="1:2" x14ac:dyDescent="0.75">
      <c r="A1086" s="51">
        <v>45091</v>
      </c>
      <c r="B1086" s="2">
        <v>6699.7169999999996</v>
      </c>
    </row>
    <row r="1087" spans="1:2" x14ac:dyDescent="0.75">
      <c r="A1087" s="51">
        <v>45092</v>
      </c>
      <c r="B1087" s="2">
        <v>6713.7950000000001</v>
      </c>
    </row>
    <row r="1088" spans="1:2" x14ac:dyDescent="0.75">
      <c r="A1088" s="51">
        <v>45093</v>
      </c>
      <c r="B1088" s="2">
        <v>6698.5469999999996</v>
      </c>
    </row>
    <row r="1089" spans="1:2" x14ac:dyDescent="0.75">
      <c r="A1089" s="51">
        <v>45096</v>
      </c>
      <c r="B1089" s="2">
        <v>6686.0590000000002</v>
      </c>
    </row>
    <row r="1090" spans="1:2" x14ac:dyDescent="0.75">
      <c r="A1090" s="51">
        <v>45097</v>
      </c>
      <c r="B1090" s="2">
        <v>6660.4549999999999</v>
      </c>
    </row>
    <row r="1091" spans="1:2" x14ac:dyDescent="0.75">
      <c r="A1091" s="51">
        <v>45098</v>
      </c>
      <c r="B1091" s="2">
        <v>6702.625</v>
      </c>
    </row>
    <row r="1092" spans="1:2" x14ac:dyDescent="0.75">
      <c r="A1092" s="51">
        <v>45099</v>
      </c>
      <c r="B1092" s="2">
        <v>6652.2610000000004</v>
      </c>
    </row>
    <row r="1093" spans="1:2" x14ac:dyDescent="0.75">
      <c r="A1093" s="51">
        <v>45100</v>
      </c>
      <c r="B1093" s="2">
        <v>6639.7330000000002</v>
      </c>
    </row>
    <row r="1094" spans="1:2" x14ac:dyDescent="0.75">
      <c r="A1094" s="51">
        <v>45103</v>
      </c>
      <c r="B1094" s="2">
        <v>6664.6679999999997</v>
      </c>
    </row>
    <row r="1095" spans="1:2" x14ac:dyDescent="0.75">
      <c r="A1095" s="51">
        <v>45104</v>
      </c>
      <c r="B1095" s="2">
        <v>6661.8789999999999</v>
      </c>
    </row>
    <row r="1096" spans="1:2" x14ac:dyDescent="0.75">
      <c r="A1096" s="51">
        <v>45110</v>
      </c>
      <c r="B1096" s="2">
        <v>6696.7160000000003</v>
      </c>
    </row>
    <row r="1097" spans="1:2" x14ac:dyDescent="0.75">
      <c r="A1097" s="51">
        <v>45111</v>
      </c>
      <c r="B1097" s="2">
        <v>6681.7539999999999</v>
      </c>
    </row>
    <row r="1098" spans="1:2" x14ac:dyDescent="0.75">
      <c r="A1098" s="51">
        <v>45112</v>
      </c>
      <c r="B1098" s="2">
        <v>6718.9769999999999</v>
      </c>
    </row>
    <row r="1099" spans="1:2" x14ac:dyDescent="0.75">
      <c r="A1099" s="51">
        <v>45113</v>
      </c>
      <c r="B1099" s="2">
        <v>6757.3310000000001</v>
      </c>
    </row>
    <row r="1100" spans="1:2" x14ac:dyDescent="0.75">
      <c r="A1100" s="51">
        <v>45114</v>
      </c>
      <c r="B1100" s="2">
        <v>6716.4589999999998</v>
      </c>
    </row>
    <row r="1101" spans="1:2" x14ac:dyDescent="0.75">
      <c r="A1101" s="51">
        <v>45117</v>
      </c>
      <c r="B1101" s="2">
        <v>6731.0379999999996</v>
      </c>
    </row>
    <row r="1102" spans="1:2" x14ac:dyDescent="0.75">
      <c r="A1102" s="51">
        <v>45118</v>
      </c>
      <c r="B1102" s="2">
        <v>6796.924</v>
      </c>
    </row>
    <row r="1103" spans="1:2" x14ac:dyDescent="0.75">
      <c r="A1103" s="51">
        <v>45119</v>
      </c>
      <c r="B1103" s="2">
        <v>6808.2089999999998</v>
      </c>
    </row>
    <row r="1104" spans="1:2" x14ac:dyDescent="0.75">
      <c r="A1104" s="51">
        <v>45120</v>
      </c>
      <c r="B1104" s="2">
        <v>6810.2129999999997</v>
      </c>
    </row>
    <row r="1105" spans="1:2" x14ac:dyDescent="0.75">
      <c r="A1105" s="51">
        <v>45121</v>
      </c>
      <c r="B1105" s="2">
        <v>6869.5720000000001</v>
      </c>
    </row>
    <row r="1106" spans="1:2" x14ac:dyDescent="0.75">
      <c r="A1106" s="51">
        <v>45124</v>
      </c>
      <c r="B1106" s="2">
        <v>6867.1440000000002</v>
      </c>
    </row>
    <row r="1107" spans="1:2" x14ac:dyDescent="0.75">
      <c r="A1107" s="51">
        <v>45125</v>
      </c>
      <c r="B1107" s="2">
        <v>6830.2030000000004</v>
      </c>
    </row>
    <row r="1108" spans="1:2" x14ac:dyDescent="0.75">
      <c r="A1108" s="51">
        <v>45127</v>
      </c>
      <c r="B1108" s="2">
        <v>6864.1890000000003</v>
      </c>
    </row>
    <row r="1109" spans="1:2" x14ac:dyDescent="0.75">
      <c r="A1109" s="51">
        <v>45128</v>
      </c>
      <c r="B1109" s="2">
        <v>6880.8019999999997</v>
      </c>
    </row>
    <row r="1110" spans="1:2" x14ac:dyDescent="0.75">
      <c r="A1110" s="51">
        <v>45131</v>
      </c>
      <c r="B1110" s="2">
        <v>6899.3959999999997</v>
      </c>
    </row>
    <row r="1111" spans="1:2" x14ac:dyDescent="0.75">
      <c r="A1111" s="51">
        <v>45132</v>
      </c>
      <c r="B1111" s="2">
        <v>6917.7110000000002</v>
      </c>
    </row>
    <row r="1112" spans="1:2" x14ac:dyDescent="0.75">
      <c r="A1112" s="51">
        <v>45133</v>
      </c>
      <c r="B1112" s="2">
        <v>6948.2790000000005</v>
      </c>
    </row>
    <row r="1113" spans="1:2" x14ac:dyDescent="0.75">
      <c r="A1113" s="51">
        <v>45134</v>
      </c>
      <c r="B1113" s="2">
        <v>6896.6629999999996</v>
      </c>
    </row>
    <row r="1114" spans="1:2" x14ac:dyDescent="0.75">
      <c r="A1114" s="51">
        <v>45135</v>
      </c>
      <c r="B1114" s="2">
        <v>6900.23</v>
      </c>
    </row>
    <row r="1115" spans="1:2" x14ac:dyDescent="0.75">
      <c r="A1115" s="51">
        <v>45138</v>
      </c>
      <c r="B1115" s="2">
        <v>6931.3590000000004</v>
      </c>
    </row>
    <row r="1116" spans="1:2" x14ac:dyDescent="0.75">
      <c r="A1116" s="51">
        <v>45139</v>
      </c>
      <c r="B1116" s="2">
        <v>6886.4960000000001</v>
      </c>
    </row>
    <row r="1117" spans="1:2" x14ac:dyDescent="0.75">
      <c r="A1117" s="51">
        <v>45140</v>
      </c>
      <c r="B1117" s="2">
        <v>6854.51</v>
      </c>
    </row>
    <row r="1118" spans="1:2" x14ac:dyDescent="0.75">
      <c r="A1118" s="51">
        <v>45141</v>
      </c>
      <c r="B1118" s="2">
        <v>6898.0770000000002</v>
      </c>
    </row>
    <row r="1119" spans="1:2" x14ac:dyDescent="0.75">
      <c r="A1119" s="51">
        <v>45142</v>
      </c>
      <c r="B1119" s="2">
        <v>6852.8419999999996</v>
      </c>
    </row>
    <row r="1120" spans="1:2" x14ac:dyDescent="0.75">
      <c r="A1120" s="51">
        <v>45145</v>
      </c>
      <c r="B1120" s="2">
        <v>6886.366</v>
      </c>
    </row>
    <row r="1121" spans="1:2" x14ac:dyDescent="0.75">
      <c r="A1121" s="51">
        <v>45146</v>
      </c>
      <c r="B1121" s="2">
        <v>6868.8130000000001</v>
      </c>
    </row>
    <row r="1122" spans="1:2" x14ac:dyDescent="0.75">
      <c r="A1122" s="51">
        <v>45147</v>
      </c>
      <c r="B1122" s="2">
        <v>6875.1120000000001</v>
      </c>
    </row>
    <row r="1123" spans="1:2" x14ac:dyDescent="0.75">
      <c r="A1123" s="51">
        <v>45148</v>
      </c>
      <c r="B1123" s="2">
        <v>6893.2759999999998</v>
      </c>
    </row>
    <row r="1124" spans="1:2" x14ac:dyDescent="0.75">
      <c r="A1124" s="51">
        <v>45149</v>
      </c>
      <c r="B1124" s="2">
        <v>6879.9790000000003</v>
      </c>
    </row>
    <row r="1125" spans="1:2" x14ac:dyDescent="0.75">
      <c r="A1125" s="51">
        <v>45152</v>
      </c>
      <c r="B1125" s="2">
        <v>6910.1719999999996</v>
      </c>
    </row>
    <row r="1126" spans="1:2" x14ac:dyDescent="0.75">
      <c r="A1126" s="51">
        <v>45153</v>
      </c>
      <c r="B1126" s="2">
        <v>6915.1009999999997</v>
      </c>
    </row>
    <row r="1127" spans="1:2" x14ac:dyDescent="0.75">
      <c r="A1127" s="51">
        <v>45154</v>
      </c>
      <c r="B1127" s="2">
        <v>6900.5379999999996</v>
      </c>
    </row>
    <row r="1128" spans="1:2" x14ac:dyDescent="0.75">
      <c r="A1128" s="51">
        <v>45156</v>
      </c>
      <c r="B1128" s="2">
        <v>6859.9120000000003</v>
      </c>
    </row>
    <row r="1129" spans="1:2" x14ac:dyDescent="0.75">
      <c r="A1129" s="51">
        <v>45159</v>
      </c>
      <c r="B1129" s="2">
        <v>6866.0330000000004</v>
      </c>
    </row>
    <row r="1130" spans="1:2" x14ac:dyDescent="0.75">
      <c r="A1130" s="51">
        <v>45160</v>
      </c>
      <c r="B1130" s="2">
        <v>6916.45</v>
      </c>
    </row>
    <row r="1131" spans="1:2" x14ac:dyDescent="0.75">
      <c r="A1131" s="51">
        <v>45161</v>
      </c>
      <c r="B1131" s="2">
        <v>6921.41</v>
      </c>
    </row>
    <row r="1132" spans="1:2" x14ac:dyDescent="0.75">
      <c r="A1132" s="51">
        <v>45162</v>
      </c>
      <c r="B1132" s="2">
        <v>6899.3919999999998</v>
      </c>
    </row>
    <row r="1133" spans="1:2" x14ac:dyDescent="0.75">
      <c r="A1133" s="51">
        <v>45163</v>
      </c>
      <c r="B1133" s="2">
        <v>6895.4430000000002</v>
      </c>
    </row>
    <row r="1134" spans="1:2" x14ac:dyDescent="0.75">
      <c r="A1134" s="51">
        <v>45166</v>
      </c>
      <c r="B1134" s="2">
        <v>6921.7269999999999</v>
      </c>
    </row>
    <row r="1135" spans="1:2" x14ac:dyDescent="0.75">
      <c r="A1135" s="51">
        <v>45167</v>
      </c>
      <c r="B1135" s="2">
        <v>6957.835</v>
      </c>
    </row>
    <row r="1136" spans="1:2" x14ac:dyDescent="0.75">
      <c r="A1136" s="51">
        <v>45168</v>
      </c>
      <c r="B1136" s="2">
        <v>6966.6559999999999</v>
      </c>
    </row>
    <row r="1137" spans="1:2" x14ac:dyDescent="0.75">
      <c r="A1137" s="51">
        <v>45169</v>
      </c>
      <c r="B1137" s="2">
        <v>6953.26</v>
      </c>
    </row>
    <row r="1138" spans="1:2" x14ac:dyDescent="0.75">
      <c r="A1138" s="51">
        <v>45170</v>
      </c>
      <c r="B1138" s="2">
        <v>6977.6540000000005</v>
      </c>
    </row>
    <row r="1139" spans="1:2" x14ac:dyDescent="0.75">
      <c r="A1139" s="51">
        <v>45173</v>
      </c>
      <c r="B1139" s="2">
        <v>6996.75</v>
      </c>
    </row>
    <row r="1140" spans="1:2" x14ac:dyDescent="0.75">
      <c r="A1140" s="51">
        <v>45174</v>
      </c>
      <c r="B1140" s="2">
        <v>6991.7079999999996</v>
      </c>
    </row>
    <row r="1141" spans="1:2" x14ac:dyDescent="0.75">
      <c r="A1141" s="51">
        <v>45175</v>
      </c>
      <c r="B1141" s="2">
        <v>6995.9530000000004</v>
      </c>
    </row>
    <row r="1142" spans="1:2" x14ac:dyDescent="0.75">
      <c r="A1142" s="51">
        <v>45176</v>
      </c>
      <c r="B1142" s="2">
        <v>6954.808</v>
      </c>
    </row>
    <row r="1143" spans="1:2" x14ac:dyDescent="0.75">
      <c r="A1143" s="51">
        <v>45177</v>
      </c>
      <c r="B1143" s="2">
        <v>6924.78</v>
      </c>
    </row>
    <row r="1144" spans="1:2" x14ac:dyDescent="0.75">
      <c r="A1144" s="51">
        <v>45180</v>
      </c>
      <c r="B1144" s="2">
        <v>6963.393</v>
      </c>
    </row>
    <row r="1145" spans="1:2" x14ac:dyDescent="0.75">
      <c r="A1145" s="51">
        <v>45181</v>
      </c>
      <c r="B1145" s="2">
        <v>6933.9690000000001</v>
      </c>
    </row>
    <row r="1146" spans="1:2" x14ac:dyDescent="0.75">
      <c r="A1146" s="51">
        <v>45182</v>
      </c>
      <c r="B1146" s="2">
        <v>6935.4759999999997</v>
      </c>
    </row>
    <row r="1147" spans="1:2" x14ac:dyDescent="0.75">
      <c r="A1147" s="51">
        <v>45183</v>
      </c>
      <c r="B1147" s="2">
        <v>6959.3329999999996</v>
      </c>
    </row>
    <row r="1148" spans="1:2" x14ac:dyDescent="0.75">
      <c r="A1148" s="51">
        <v>45184</v>
      </c>
      <c r="B1148" s="2">
        <v>6982.7910000000002</v>
      </c>
    </row>
    <row r="1149" spans="1:2" x14ac:dyDescent="0.75">
      <c r="A1149" s="51">
        <v>45187</v>
      </c>
      <c r="B1149" s="2">
        <v>6936.0829999999996</v>
      </c>
    </row>
    <row r="1150" spans="1:2" x14ac:dyDescent="0.75">
      <c r="A1150" s="51">
        <v>45188</v>
      </c>
      <c r="B1150" s="2">
        <v>6980.3209999999999</v>
      </c>
    </row>
    <row r="1151" spans="1:2" x14ac:dyDescent="0.75">
      <c r="A1151" s="51">
        <v>45189</v>
      </c>
      <c r="B1151" s="2">
        <v>7011.6809999999996</v>
      </c>
    </row>
    <row r="1152" spans="1:2" x14ac:dyDescent="0.75">
      <c r="A1152" s="51">
        <v>45190</v>
      </c>
      <c r="B1152" s="2">
        <v>6991.4660000000003</v>
      </c>
    </row>
    <row r="1153" spans="1:2" x14ac:dyDescent="0.75">
      <c r="A1153" s="51">
        <v>45191</v>
      </c>
      <c r="B1153" s="2">
        <v>7016.8440000000001</v>
      </c>
    </row>
    <row r="1154" spans="1:2" x14ac:dyDescent="0.75">
      <c r="A1154" s="51">
        <v>45194</v>
      </c>
      <c r="B1154" s="2">
        <v>6998.3810000000003</v>
      </c>
    </row>
    <row r="1155" spans="1:2" x14ac:dyDescent="0.75">
      <c r="A1155" s="51">
        <v>45195</v>
      </c>
      <c r="B1155" s="2">
        <v>6923.8</v>
      </c>
    </row>
    <row r="1156" spans="1:2" x14ac:dyDescent="0.75">
      <c r="A1156" s="51">
        <v>45196</v>
      </c>
      <c r="B1156" s="2">
        <v>6937.8280000000004</v>
      </c>
    </row>
    <row r="1157" spans="1:2" x14ac:dyDescent="0.75">
      <c r="A1157" s="51">
        <v>45198</v>
      </c>
      <c r="B1157" s="2">
        <v>6939.8919999999998</v>
      </c>
    </row>
    <row r="1158" spans="1:2" x14ac:dyDescent="0.75">
      <c r="A1158" s="51">
        <v>45201</v>
      </c>
      <c r="B1158" s="2">
        <v>6961.4589999999998</v>
      </c>
    </row>
    <row r="1159" spans="1:2" x14ac:dyDescent="0.75">
      <c r="A1159" s="51">
        <v>45202</v>
      </c>
      <c r="B1159" s="2">
        <v>6940.8869999999997</v>
      </c>
    </row>
    <row r="1160" spans="1:2" x14ac:dyDescent="0.75">
      <c r="A1160" s="51">
        <v>45203</v>
      </c>
      <c r="B1160" s="2">
        <v>6886.576</v>
      </c>
    </row>
    <row r="1161" spans="1:2" x14ac:dyDescent="0.75">
      <c r="A1161" s="51">
        <v>45204</v>
      </c>
      <c r="B1161" s="2">
        <v>6874.826</v>
      </c>
    </row>
    <row r="1162" spans="1:2" x14ac:dyDescent="0.75">
      <c r="A1162" s="51">
        <v>45205</v>
      </c>
      <c r="B1162" s="2">
        <v>6888.518</v>
      </c>
    </row>
    <row r="1163" spans="1:2" x14ac:dyDescent="0.75">
      <c r="A1163" s="51">
        <v>45208</v>
      </c>
      <c r="B1163" s="2">
        <v>6891.4549999999999</v>
      </c>
    </row>
    <row r="1164" spans="1:2" x14ac:dyDescent="0.75">
      <c r="A1164" s="51">
        <v>45209</v>
      </c>
      <c r="B1164" s="2">
        <v>6922.1880000000001</v>
      </c>
    </row>
    <row r="1165" spans="1:2" x14ac:dyDescent="0.75">
      <c r="A1165" s="51">
        <v>45210</v>
      </c>
      <c r="B1165" s="2">
        <v>6931.7529999999997</v>
      </c>
    </row>
    <row r="1166" spans="1:2" x14ac:dyDescent="0.75">
      <c r="A1166" s="51">
        <v>45211</v>
      </c>
      <c r="B1166" s="2">
        <v>6935.1509999999998</v>
      </c>
    </row>
    <row r="1167" spans="1:2" x14ac:dyDescent="0.75">
      <c r="A1167" s="51">
        <v>45212</v>
      </c>
      <c r="B1167" s="2">
        <v>6926.78</v>
      </c>
    </row>
    <row r="1168" spans="1:2" x14ac:dyDescent="0.75">
      <c r="A1168" s="51">
        <v>45215</v>
      </c>
      <c r="B1168" s="2">
        <v>6896.2920000000004</v>
      </c>
    </row>
    <row r="1169" spans="1:2" x14ac:dyDescent="0.75">
      <c r="A1169" s="51">
        <v>45216</v>
      </c>
      <c r="B1169" s="2">
        <v>6939.6149999999998</v>
      </c>
    </row>
    <row r="1170" spans="1:2" x14ac:dyDescent="0.75">
      <c r="A1170" s="51">
        <v>45217</v>
      </c>
      <c r="B1170" s="2">
        <v>6927.9059999999999</v>
      </c>
    </row>
    <row r="1171" spans="1:2" x14ac:dyDescent="0.75">
      <c r="A1171" s="51">
        <v>45218</v>
      </c>
      <c r="B1171" s="2">
        <v>6846.4269999999997</v>
      </c>
    </row>
    <row r="1172" spans="1:2" x14ac:dyDescent="0.75">
      <c r="A1172" s="51">
        <v>45219</v>
      </c>
      <c r="B1172" s="2">
        <v>6849.1679999999997</v>
      </c>
    </row>
    <row r="1173" spans="1:2" x14ac:dyDescent="0.75">
      <c r="A1173" s="51">
        <v>45222</v>
      </c>
      <c r="B1173" s="2">
        <v>6741.9639999999999</v>
      </c>
    </row>
    <row r="1174" spans="1:2" x14ac:dyDescent="0.75">
      <c r="A1174" s="51">
        <v>45223</v>
      </c>
      <c r="B1174" s="2">
        <v>6806.7619999999997</v>
      </c>
    </row>
    <row r="1175" spans="1:2" x14ac:dyDescent="0.75">
      <c r="A1175" s="51">
        <v>45224</v>
      </c>
      <c r="B1175" s="2">
        <v>6834.3879999999999</v>
      </c>
    </row>
    <row r="1176" spans="1:2" x14ac:dyDescent="0.75">
      <c r="A1176" s="51">
        <v>45225</v>
      </c>
      <c r="B1176" s="2">
        <v>6714.5190000000002</v>
      </c>
    </row>
    <row r="1177" spans="1:2" x14ac:dyDescent="0.75">
      <c r="A1177" s="51">
        <v>45226</v>
      </c>
      <c r="B1177" s="2">
        <v>6758.7929999999997</v>
      </c>
    </row>
    <row r="1178" spans="1:2" x14ac:dyDescent="0.75">
      <c r="A1178" s="51">
        <v>45229</v>
      </c>
      <c r="B1178" s="2">
        <v>6735.8919999999998</v>
      </c>
    </row>
    <row r="1179" spans="1:2" x14ac:dyDescent="0.75">
      <c r="A1179" s="51">
        <v>45230</v>
      </c>
      <c r="B1179" s="2">
        <v>6752.2110000000002</v>
      </c>
    </row>
    <row r="1180" spans="1:2" x14ac:dyDescent="0.75">
      <c r="A1180" s="51">
        <v>45231</v>
      </c>
      <c r="B1180" s="2">
        <v>6642.4179999999997</v>
      </c>
    </row>
    <row r="1181" spans="1:2" x14ac:dyDescent="0.75">
      <c r="A1181" s="51">
        <v>45232</v>
      </c>
      <c r="B1181" s="2">
        <v>6751.3860000000004</v>
      </c>
    </row>
    <row r="1182" spans="1:2" x14ac:dyDescent="0.75">
      <c r="A1182" s="51">
        <v>45233</v>
      </c>
      <c r="B1182" s="2">
        <v>6788.85</v>
      </c>
    </row>
    <row r="1183" spans="1:2" x14ac:dyDescent="0.75">
      <c r="A1183" s="51">
        <v>45236</v>
      </c>
      <c r="B1183" s="2">
        <v>6878.8360000000002</v>
      </c>
    </row>
    <row r="1184" spans="1:2" x14ac:dyDescent="0.75">
      <c r="A1184" s="51">
        <v>45237</v>
      </c>
      <c r="B1184" s="2">
        <v>6843.79</v>
      </c>
    </row>
    <row r="1185" spans="1:2" x14ac:dyDescent="0.75">
      <c r="A1185" s="51">
        <v>45238</v>
      </c>
      <c r="B1185" s="2">
        <v>6804.1059999999998</v>
      </c>
    </row>
    <row r="1186" spans="1:2" x14ac:dyDescent="0.75">
      <c r="A1186" s="51">
        <v>45239</v>
      </c>
      <c r="B1186" s="2">
        <v>6838.2330000000002</v>
      </c>
    </row>
    <row r="1187" spans="1:2" x14ac:dyDescent="0.75">
      <c r="A1187" s="51">
        <v>45240</v>
      </c>
      <c r="B1187" s="2">
        <v>6809.2629999999999</v>
      </c>
    </row>
    <row r="1188" spans="1:2" x14ac:dyDescent="0.75">
      <c r="A1188" s="51">
        <v>45243</v>
      </c>
      <c r="B1188" s="2">
        <v>6838.3119999999999</v>
      </c>
    </row>
    <row r="1189" spans="1:2" x14ac:dyDescent="0.75">
      <c r="A1189" s="51">
        <v>45244</v>
      </c>
      <c r="B1189" s="2">
        <v>6862.0550000000003</v>
      </c>
    </row>
    <row r="1190" spans="1:2" x14ac:dyDescent="0.75">
      <c r="A1190" s="51">
        <v>45245</v>
      </c>
      <c r="B1190" s="2">
        <v>6958.2049999999999</v>
      </c>
    </row>
    <row r="1191" spans="1:2" x14ac:dyDescent="0.75">
      <c r="A1191" s="51">
        <v>45246</v>
      </c>
      <c r="B1191" s="2">
        <v>6958.0079999999998</v>
      </c>
    </row>
    <row r="1192" spans="1:2" x14ac:dyDescent="0.75">
      <c r="A1192" s="51">
        <v>45247</v>
      </c>
      <c r="B1192" s="2">
        <v>6977.6679999999997</v>
      </c>
    </row>
    <row r="1193" spans="1:2" x14ac:dyDescent="0.75">
      <c r="A1193" s="51">
        <v>45250</v>
      </c>
      <c r="B1193" s="2">
        <v>6994.8879999999999</v>
      </c>
    </row>
    <row r="1194" spans="1:2" x14ac:dyDescent="0.75">
      <c r="A1194" s="51">
        <v>45251</v>
      </c>
      <c r="B1194" s="2">
        <v>6961.79</v>
      </c>
    </row>
    <row r="1195" spans="1:2" x14ac:dyDescent="0.75">
      <c r="A1195" s="51">
        <v>45252</v>
      </c>
      <c r="B1195" s="2">
        <v>6906.9530000000004</v>
      </c>
    </row>
    <row r="1196" spans="1:2" x14ac:dyDescent="0.75">
      <c r="A1196" s="51">
        <v>45253</v>
      </c>
      <c r="B1196" s="2">
        <v>7004.3440000000001</v>
      </c>
    </row>
    <row r="1197" spans="1:2" x14ac:dyDescent="0.75">
      <c r="A1197" s="51">
        <v>45254</v>
      </c>
      <c r="B1197" s="2">
        <v>7009.6310000000003</v>
      </c>
    </row>
    <row r="1198" spans="1:2" x14ac:dyDescent="0.75">
      <c r="A1198" s="51">
        <v>45257</v>
      </c>
      <c r="B1198" s="2">
        <v>7013.4059999999999</v>
      </c>
    </row>
    <row r="1199" spans="1:2" x14ac:dyDescent="0.75">
      <c r="A1199" s="51">
        <v>45258</v>
      </c>
      <c r="B1199" s="2">
        <v>7041.0730000000003</v>
      </c>
    </row>
    <row r="1200" spans="1:2" x14ac:dyDescent="0.75">
      <c r="A1200" s="51">
        <v>45259</v>
      </c>
      <c r="B1200" s="2">
        <v>7036.0870000000004</v>
      </c>
    </row>
    <row r="1201" spans="1:2" x14ac:dyDescent="0.75">
      <c r="A1201" s="51">
        <v>45260</v>
      </c>
      <c r="B1201" s="2">
        <v>7080.741</v>
      </c>
    </row>
    <row r="1202" spans="1:2" x14ac:dyDescent="0.75">
      <c r="A1202" s="51">
        <v>45261</v>
      </c>
      <c r="B1202" s="2">
        <v>7059.9059999999999</v>
      </c>
    </row>
    <row r="1203" spans="1:2" x14ac:dyDescent="0.75">
      <c r="A1203" s="51">
        <v>45264</v>
      </c>
      <c r="B1203" s="2">
        <v>7093.6</v>
      </c>
    </row>
    <row r="1204" spans="1:2" x14ac:dyDescent="0.75">
      <c r="A1204" s="51">
        <v>45265</v>
      </c>
      <c r="B1204" s="2">
        <v>7100.8549999999996</v>
      </c>
    </row>
    <row r="1205" spans="1:2" x14ac:dyDescent="0.75">
      <c r="A1205" s="51">
        <v>45266</v>
      </c>
      <c r="B1205" s="2">
        <v>7087.3950000000004</v>
      </c>
    </row>
    <row r="1206" spans="1:2" x14ac:dyDescent="0.75">
      <c r="A1206" s="51">
        <v>45267</v>
      </c>
      <c r="B1206" s="2">
        <v>7134.6229999999996</v>
      </c>
    </row>
    <row r="1207" spans="1:2" x14ac:dyDescent="0.75">
      <c r="A1207" s="51">
        <v>45268</v>
      </c>
      <c r="B1207" s="2">
        <v>7159.598</v>
      </c>
    </row>
    <row r="1208" spans="1:2" x14ac:dyDescent="0.75">
      <c r="A1208" s="51">
        <v>45271</v>
      </c>
      <c r="B1208" s="2">
        <v>7088.7849999999999</v>
      </c>
    </row>
    <row r="1209" spans="1:2" x14ac:dyDescent="0.75">
      <c r="A1209" s="51">
        <v>45272</v>
      </c>
      <c r="B1209" s="2">
        <v>7125.3069999999998</v>
      </c>
    </row>
    <row r="1210" spans="1:2" x14ac:dyDescent="0.75">
      <c r="A1210" s="51">
        <v>45273</v>
      </c>
      <c r="B1210" s="2">
        <v>7075.3410000000003</v>
      </c>
    </row>
    <row r="1211" spans="1:2" x14ac:dyDescent="0.75">
      <c r="A1211" s="51">
        <v>45274</v>
      </c>
      <c r="B1211" s="2">
        <v>7176.0159999999996</v>
      </c>
    </row>
    <row r="1212" spans="1:2" x14ac:dyDescent="0.75">
      <c r="A1212" s="51">
        <v>45275</v>
      </c>
      <c r="B1212" s="2">
        <v>7190.9880000000003</v>
      </c>
    </row>
    <row r="1213" spans="1:2" x14ac:dyDescent="0.75">
      <c r="A1213" s="51">
        <v>45278</v>
      </c>
      <c r="B1213" s="2">
        <v>7119.5249999999996</v>
      </c>
    </row>
    <row r="1214" spans="1:2" x14ac:dyDescent="0.75">
      <c r="A1214" s="51">
        <v>45279</v>
      </c>
      <c r="B1214" s="2">
        <v>7187.8459999999995</v>
      </c>
    </row>
    <row r="1215" spans="1:2" x14ac:dyDescent="0.75">
      <c r="A1215" s="51">
        <v>45280</v>
      </c>
      <c r="B1215" s="2">
        <v>7219.6670000000004</v>
      </c>
    </row>
    <row r="1216" spans="1:2" x14ac:dyDescent="0.75">
      <c r="A1216" s="51">
        <v>45281</v>
      </c>
      <c r="B1216" s="2">
        <v>7209.6189999999997</v>
      </c>
    </row>
    <row r="1217" spans="1:2" x14ac:dyDescent="0.75">
      <c r="A1217" s="51">
        <v>45282</v>
      </c>
      <c r="B1217" s="2">
        <v>7237.5190000000002</v>
      </c>
    </row>
    <row r="1218" spans="1:2" x14ac:dyDescent="0.75">
      <c r="A1218" s="51">
        <v>45287</v>
      </c>
      <c r="B1218" s="2">
        <v>7245.9160000000002</v>
      </c>
    </row>
    <row r="1219" spans="1:2" x14ac:dyDescent="0.75">
      <c r="A1219" s="51">
        <v>45288</v>
      </c>
      <c r="B1219" s="2">
        <v>7303.8879999999999</v>
      </c>
    </row>
    <row r="1220" spans="1:2" x14ac:dyDescent="0.75">
      <c r="A1220" s="51">
        <v>45289</v>
      </c>
      <c r="B1220" s="2">
        <v>7272.7969999999996</v>
      </c>
    </row>
    <row r="1221" spans="1:2" x14ac:dyDescent="0.75">
      <c r="A1221" s="51">
        <v>45293</v>
      </c>
      <c r="B1221" s="2">
        <v>7323.5879999999997</v>
      </c>
    </row>
    <row r="1222" spans="1:2" x14ac:dyDescent="0.75">
      <c r="A1222" s="51">
        <v>45294</v>
      </c>
      <c r="B1222" s="2">
        <v>7279.0910000000003</v>
      </c>
    </row>
    <row r="1223" spans="1:2" x14ac:dyDescent="0.75">
      <c r="A1223" s="51">
        <v>45295</v>
      </c>
      <c r="B1223" s="2">
        <v>7359.7629999999999</v>
      </c>
    </row>
    <row r="1224" spans="1:2" x14ac:dyDescent="0.75">
      <c r="A1224" s="51">
        <v>45296</v>
      </c>
      <c r="B1224" s="2">
        <v>7350.6189999999997</v>
      </c>
    </row>
    <row r="1225" spans="1:2" x14ac:dyDescent="0.75">
      <c r="A1225" s="51">
        <v>45299</v>
      </c>
      <c r="B1225" s="2">
        <v>7283.5749999999998</v>
      </c>
    </row>
    <row r="1226" spans="1:2" x14ac:dyDescent="0.75">
      <c r="A1226" s="51">
        <v>45300</v>
      </c>
      <c r="B1226" s="2">
        <v>7200.2030000000004</v>
      </c>
    </row>
    <row r="1227" spans="1:2" x14ac:dyDescent="0.75">
      <c r="A1227" s="51">
        <v>45301</v>
      </c>
      <c r="B1227" s="2">
        <v>7227.2969999999996</v>
      </c>
    </row>
    <row r="1228" spans="1:2" x14ac:dyDescent="0.75">
      <c r="A1228" s="51">
        <v>45302</v>
      </c>
      <c r="B1228" s="2">
        <v>7219.9639999999999</v>
      </c>
    </row>
    <row r="1229" spans="1:2" x14ac:dyDescent="0.75">
      <c r="A1229" s="51">
        <v>45303</v>
      </c>
      <c r="B1229" s="2">
        <v>7241.1379999999999</v>
      </c>
    </row>
    <row r="1230" spans="1:2" x14ac:dyDescent="0.75">
      <c r="A1230" s="51">
        <v>45306</v>
      </c>
      <c r="B1230" s="2">
        <v>7224.0010000000002</v>
      </c>
    </row>
    <row r="1231" spans="1:2" x14ac:dyDescent="0.75">
      <c r="A1231" s="51">
        <v>45307</v>
      </c>
      <c r="B1231" s="2">
        <v>7242.7870000000003</v>
      </c>
    </row>
    <row r="1232" spans="1:2" x14ac:dyDescent="0.75">
      <c r="A1232" s="51">
        <v>45308</v>
      </c>
      <c r="B1232" s="2">
        <v>7200.6350000000002</v>
      </c>
    </row>
    <row r="1233" spans="1:2" x14ac:dyDescent="0.75">
      <c r="A1233" s="51">
        <v>45309</v>
      </c>
      <c r="B1233" s="2">
        <v>7252.9669999999996</v>
      </c>
    </row>
    <row r="1234" spans="1:2" x14ac:dyDescent="0.75">
      <c r="A1234" s="51">
        <v>45310</v>
      </c>
      <c r="B1234" s="2">
        <v>7227.402</v>
      </c>
    </row>
    <row r="1235" spans="1:2" x14ac:dyDescent="0.75">
      <c r="A1235" s="51">
        <v>45313</v>
      </c>
      <c r="B1235" s="2">
        <v>7247.9279999999999</v>
      </c>
    </row>
    <row r="1236" spans="1:2" x14ac:dyDescent="0.75">
      <c r="A1236" s="51">
        <v>45314</v>
      </c>
      <c r="B1236" s="2">
        <v>7256.2290000000003</v>
      </c>
    </row>
    <row r="1237" spans="1:2" x14ac:dyDescent="0.75">
      <c r="A1237" s="51">
        <v>45315</v>
      </c>
      <c r="B1237" s="2">
        <v>7227.8230000000003</v>
      </c>
    </row>
    <row r="1238" spans="1:2" x14ac:dyDescent="0.75">
      <c r="A1238" s="51">
        <v>45316</v>
      </c>
      <c r="B1238" s="2">
        <v>7178.0420000000004</v>
      </c>
    </row>
    <row r="1239" spans="1:2" x14ac:dyDescent="0.75">
      <c r="A1239" s="51">
        <v>45317</v>
      </c>
      <c r="B1239" s="2">
        <v>7137.0879999999997</v>
      </c>
    </row>
    <row r="1240" spans="1:2" x14ac:dyDescent="0.75">
      <c r="A1240" s="51">
        <v>45320</v>
      </c>
      <c r="B1240" s="2">
        <v>7157.1750000000002</v>
      </c>
    </row>
    <row r="1241" spans="1:2" x14ac:dyDescent="0.75">
      <c r="A1241" s="51">
        <v>45321</v>
      </c>
      <c r="B1241" s="2">
        <v>7192.2160000000003</v>
      </c>
    </row>
    <row r="1242" spans="1:2" x14ac:dyDescent="0.75">
      <c r="A1242" s="51">
        <v>45322</v>
      </c>
      <c r="B1242" s="2">
        <v>7207.9409999999998</v>
      </c>
    </row>
    <row r="1243" spans="1:2" x14ac:dyDescent="0.75">
      <c r="A1243" s="51">
        <v>45323</v>
      </c>
      <c r="B1243" s="2">
        <v>7201.6959999999999</v>
      </c>
    </row>
    <row r="1244" spans="1:2" x14ac:dyDescent="0.75">
      <c r="A1244" s="51">
        <v>45324</v>
      </c>
      <c r="B1244" s="2">
        <v>7238.7849999999999</v>
      </c>
    </row>
    <row r="1245" spans="1:2" x14ac:dyDescent="0.75">
      <c r="A1245" s="51">
        <v>45327</v>
      </c>
      <c r="B1245" s="2">
        <v>7198.6149999999998</v>
      </c>
    </row>
    <row r="1246" spans="1:2" x14ac:dyDescent="0.75">
      <c r="A1246" s="51">
        <v>45328</v>
      </c>
      <c r="B1246" s="2">
        <v>7247.4080000000004</v>
      </c>
    </row>
    <row r="1247" spans="1:2" x14ac:dyDescent="0.75">
      <c r="A1247" s="51">
        <v>45329</v>
      </c>
      <c r="B1247" s="2">
        <v>7235.152</v>
      </c>
    </row>
    <row r="1248" spans="1:2" x14ac:dyDescent="0.75">
      <c r="A1248" s="51">
        <v>45334</v>
      </c>
      <c r="B1248" s="2">
        <v>7297.6689999999999</v>
      </c>
    </row>
    <row r="1249" spans="1:2" x14ac:dyDescent="0.75">
      <c r="A1249" s="51">
        <v>45335</v>
      </c>
      <c r="B1249" s="2">
        <v>7209.741</v>
      </c>
    </row>
    <row r="1250" spans="1:2" x14ac:dyDescent="0.75">
      <c r="A1250" s="51">
        <v>45337</v>
      </c>
      <c r="B1250" s="2">
        <v>7303.2809999999999</v>
      </c>
    </row>
    <row r="1251" spans="1:2" x14ac:dyDescent="0.75">
      <c r="A1251" s="51">
        <v>45338</v>
      </c>
      <c r="B1251" s="2">
        <v>7335.5450000000001</v>
      </c>
    </row>
    <row r="1252" spans="1:2" x14ac:dyDescent="0.75">
      <c r="A1252" s="51">
        <v>45341</v>
      </c>
      <c r="B1252" s="2">
        <v>7296.7020000000002</v>
      </c>
    </row>
    <row r="1253" spans="1:2" x14ac:dyDescent="0.75">
      <c r="A1253" s="51">
        <v>45342</v>
      </c>
      <c r="B1253" s="2">
        <v>7352.6009999999997</v>
      </c>
    </row>
    <row r="1254" spans="1:2" x14ac:dyDescent="0.75">
      <c r="A1254" s="51">
        <v>45343</v>
      </c>
      <c r="B1254" s="2">
        <v>7349.0209999999997</v>
      </c>
    </row>
    <row r="1255" spans="1:2" x14ac:dyDescent="0.75">
      <c r="A1255" s="51">
        <v>45344</v>
      </c>
      <c r="B1255" s="2">
        <v>7339.6360000000004</v>
      </c>
    </row>
    <row r="1256" spans="1:2" x14ac:dyDescent="0.75">
      <c r="A1256" s="51">
        <v>45345</v>
      </c>
      <c r="B1256" s="2">
        <v>7295.0950000000003</v>
      </c>
    </row>
    <row r="1257" spans="1:2" x14ac:dyDescent="0.75">
      <c r="A1257" s="51">
        <v>45348</v>
      </c>
      <c r="B1257" s="2">
        <v>7283.8230000000003</v>
      </c>
    </row>
    <row r="1258" spans="1:2" x14ac:dyDescent="0.75">
      <c r="A1258" s="51">
        <v>45349</v>
      </c>
      <c r="B1258" s="2">
        <v>7285.317</v>
      </c>
    </row>
    <row r="1259" spans="1:2" x14ac:dyDescent="0.75">
      <c r="A1259" s="51">
        <v>45350</v>
      </c>
      <c r="B1259" s="2">
        <v>7328.6360000000004</v>
      </c>
    </row>
    <row r="1260" spans="1:2" x14ac:dyDescent="0.75">
      <c r="A1260" s="51">
        <v>45351</v>
      </c>
      <c r="B1260" s="2">
        <v>7316.1109999999999</v>
      </c>
    </row>
    <row r="1261" spans="1:2" x14ac:dyDescent="0.75">
      <c r="A1261" s="51">
        <v>45352</v>
      </c>
      <c r="B1261" s="2">
        <v>7311.9070000000002</v>
      </c>
    </row>
    <row r="1262" spans="1:2" x14ac:dyDescent="0.75">
      <c r="A1262" s="51">
        <v>45355</v>
      </c>
      <c r="B1262" s="2">
        <v>7276.7489999999998</v>
      </c>
    </row>
    <row r="1263" spans="1:2" x14ac:dyDescent="0.75">
      <c r="A1263" s="51">
        <v>45356</v>
      </c>
      <c r="B1263" s="2">
        <v>7247.46</v>
      </c>
    </row>
    <row r="1264" spans="1:2" x14ac:dyDescent="0.75">
      <c r="A1264" s="51">
        <v>45357</v>
      </c>
      <c r="B1264" s="2">
        <v>7329.8010000000004</v>
      </c>
    </row>
    <row r="1265" spans="1:2" x14ac:dyDescent="0.75">
      <c r="A1265" s="51">
        <v>45358</v>
      </c>
      <c r="B1265" s="2">
        <v>7373.9639999999999</v>
      </c>
    </row>
    <row r="1266" spans="1:2" x14ac:dyDescent="0.75">
      <c r="A1266" s="51">
        <v>45359</v>
      </c>
      <c r="B1266" s="2">
        <v>7381.9070000000002</v>
      </c>
    </row>
    <row r="1267" spans="1:2" x14ac:dyDescent="0.75">
      <c r="A1267" s="51">
        <v>45364</v>
      </c>
      <c r="B1267" s="2">
        <v>7421.2070000000003</v>
      </c>
    </row>
    <row r="1268" spans="1:2" x14ac:dyDescent="0.75">
      <c r="A1268" s="51">
        <v>45365</v>
      </c>
      <c r="B1268" s="2">
        <v>7433.3149999999996</v>
      </c>
    </row>
    <row r="1269" spans="1:2" x14ac:dyDescent="0.75">
      <c r="A1269" s="51">
        <v>45366</v>
      </c>
      <c r="B1269" s="2">
        <v>7328.0540000000001</v>
      </c>
    </row>
    <row r="1270" spans="1:2" x14ac:dyDescent="0.75">
      <c r="A1270" s="51">
        <v>45369</v>
      </c>
      <c r="B1270" s="2">
        <v>7302.4489999999996</v>
      </c>
    </row>
    <row r="1271" spans="1:2" x14ac:dyDescent="0.75">
      <c r="A1271" s="51">
        <v>45370</v>
      </c>
      <c r="B1271" s="2">
        <v>7336.7460000000001</v>
      </c>
    </row>
    <row r="1272" spans="1:2" x14ac:dyDescent="0.75">
      <c r="A1272" s="51">
        <v>45371</v>
      </c>
      <c r="B1272" s="2">
        <v>7331.1279999999997</v>
      </c>
    </row>
    <row r="1273" spans="1:2" x14ac:dyDescent="0.75">
      <c r="A1273" s="51">
        <v>45372</v>
      </c>
      <c r="B1273" s="2">
        <v>7338.3530000000001</v>
      </c>
    </row>
    <row r="1274" spans="1:2" x14ac:dyDescent="0.75">
      <c r="A1274" s="51">
        <v>45373</v>
      </c>
      <c r="B1274" s="2">
        <v>7350.152</v>
      </c>
    </row>
    <row r="1275" spans="1:2" x14ac:dyDescent="0.75">
      <c r="A1275" s="51">
        <v>45376</v>
      </c>
      <c r="B1275" s="2">
        <v>7377.76</v>
      </c>
    </row>
    <row r="1276" spans="1:2" x14ac:dyDescent="0.75">
      <c r="A1276" s="51">
        <v>45377</v>
      </c>
      <c r="B1276" s="2">
        <v>7365.6639999999998</v>
      </c>
    </row>
    <row r="1277" spans="1:2" x14ac:dyDescent="0.75">
      <c r="A1277" s="51">
        <v>45378</v>
      </c>
      <c r="B1277" s="2">
        <v>7310.0919999999996</v>
      </c>
    </row>
    <row r="1278" spans="1:2" x14ac:dyDescent="0.75">
      <c r="A1278" s="51">
        <v>45379</v>
      </c>
      <c r="B1278" s="2">
        <v>7288.8130000000001</v>
      </c>
    </row>
    <row r="1279" spans="1:2" x14ac:dyDescent="0.75">
      <c r="A1279" s="51">
        <v>45383</v>
      </c>
      <c r="B1279" s="2">
        <v>7205.0609999999997</v>
      </c>
    </row>
    <row r="1280" spans="1:2" x14ac:dyDescent="0.75">
      <c r="A1280" s="51">
        <v>45384</v>
      </c>
      <c r="B1280" s="2">
        <v>7236.9840000000004</v>
      </c>
    </row>
    <row r="1281" spans="1:2" x14ac:dyDescent="0.75">
      <c r="A1281" s="51">
        <v>45385</v>
      </c>
      <c r="B1281" s="2">
        <v>7166.8440000000001</v>
      </c>
    </row>
    <row r="1282" spans="1:2" x14ac:dyDescent="0.75">
      <c r="A1282" s="51">
        <v>45386</v>
      </c>
      <c r="B1282" s="2">
        <v>7254.3990000000003</v>
      </c>
    </row>
    <row r="1283" spans="1:2" x14ac:dyDescent="0.75">
      <c r="A1283" s="51">
        <v>45387</v>
      </c>
      <c r="B1283" s="2">
        <v>7286.8819999999996</v>
      </c>
    </row>
    <row r="1284" spans="1:2" x14ac:dyDescent="0.75">
      <c r="A1284" s="51">
        <v>45398</v>
      </c>
      <c r="B1284" s="2">
        <v>7164.8069999999998</v>
      </c>
    </row>
    <row r="1285" spans="1:2" x14ac:dyDescent="0.75">
      <c r="A1285" s="51">
        <v>45399</v>
      </c>
      <c r="B1285" s="2">
        <v>7130.8410000000003</v>
      </c>
    </row>
    <row r="1286" spans="1:2" x14ac:dyDescent="0.75">
      <c r="A1286" s="51">
        <v>45400</v>
      </c>
      <c r="B1286" s="2">
        <v>7166.8140000000003</v>
      </c>
    </row>
    <row r="1287" spans="1:2" x14ac:dyDescent="0.75">
      <c r="A1287" s="51">
        <v>45401</v>
      </c>
      <c r="B1287" s="2">
        <v>7087.317</v>
      </c>
    </row>
    <row r="1288" spans="1:2" x14ac:dyDescent="0.75">
      <c r="A1288" s="51">
        <v>45404</v>
      </c>
      <c r="B1288" s="2">
        <v>7073.82</v>
      </c>
    </row>
    <row r="1289" spans="1:2" x14ac:dyDescent="0.75">
      <c r="A1289" s="51">
        <v>45405</v>
      </c>
      <c r="B1289" s="2">
        <v>7110.8130000000001</v>
      </c>
    </row>
    <row r="1290" spans="1:2" x14ac:dyDescent="0.75">
      <c r="A1290" s="51">
        <v>45406</v>
      </c>
      <c r="B1290" s="2">
        <v>7174.5330000000004</v>
      </c>
    </row>
    <row r="1291" spans="1:2" x14ac:dyDescent="0.75">
      <c r="A1291" s="51">
        <v>45407</v>
      </c>
      <c r="B1291" s="2">
        <v>7155.2939999999999</v>
      </c>
    </row>
    <row r="1292" spans="1:2" x14ac:dyDescent="0.75">
      <c r="A1292" s="51">
        <v>45408</v>
      </c>
      <c r="B1292" s="2">
        <v>7036.0749999999998</v>
      </c>
    </row>
    <row r="1293" spans="1:2" x14ac:dyDescent="0.75">
      <c r="A1293" s="51">
        <v>45411</v>
      </c>
      <c r="B1293" s="2">
        <v>7155.7839999999997</v>
      </c>
    </row>
    <row r="1294" spans="1:2" x14ac:dyDescent="0.75">
      <c r="A1294" s="51">
        <v>45412</v>
      </c>
      <c r="B1294" s="2">
        <v>7234.1970000000001</v>
      </c>
    </row>
    <row r="1295" spans="1:2" x14ac:dyDescent="0.75">
      <c r="A1295" s="51">
        <v>45414</v>
      </c>
      <c r="B1295" s="2">
        <v>7117.4250000000002</v>
      </c>
    </row>
    <row r="1296" spans="1:2" x14ac:dyDescent="0.75">
      <c r="A1296" s="51">
        <v>45415</v>
      </c>
      <c r="B1296" s="2">
        <v>7134.7240000000002</v>
      </c>
    </row>
    <row r="1297" spans="1:2" x14ac:dyDescent="0.75">
      <c r="A1297" s="51">
        <v>45418</v>
      </c>
      <c r="B1297" s="2">
        <v>7135.89</v>
      </c>
    </row>
    <row r="1298" spans="1:2" x14ac:dyDescent="0.75">
      <c r="A1298" s="51">
        <v>45419</v>
      </c>
      <c r="B1298" s="2">
        <v>7123.6120000000001</v>
      </c>
    </row>
    <row r="1299" spans="1:2" x14ac:dyDescent="0.75">
      <c r="A1299" s="51">
        <v>45420</v>
      </c>
      <c r="B1299" s="2">
        <v>7088.7950000000001</v>
      </c>
    </row>
    <row r="1300" spans="1:2" x14ac:dyDescent="0.75">
      <c r="A1300" s="51">
        <v>45425</v>
      </c>
      <c r="B1300" s="2">
        <v>7099.2610000000004</v>
      </c>
    </row>
    <row r="1301" spans="1:2" x14ac:dyDescent="0.75">
      <c r="A1301" s="51">
        <v>45426</v>
      </c>
      <c r="B1301" s="2">
        <v>7083.7629999999999</v>
      </c>
    </row>
    <row r="1302" spans="1:2" x14ac:dyDescent="0.75">
      <c r="A1302" s="51">
        <v>45427</v>
      </c>
      <c r="B1302" s="2">
        <v>7179.8310000000001</v>
      </c>
    </row>
    <row r="1303" spans="1:2" x14ac:dyDescent="0.75">
      <c r="A1303" s="51">
        <v>45428</v>
      </c>
      <c r="B1303" s="2">
        <v>7246.6959999999999</v>
      </c>
    </row>
    <row r="1304" spans="1:2" x14ac:dyDescent="0.75">
      <c r="A1304" s="51">
        <v>45429</v>
      </c>
      <c r="B1304" s="2">
        <v>7317.2380000000003</v>
      </c>
    </row>
    <row r="1305" spans="1:2" x14ac:dyDescent="0.75">
      <c r="A1305" s="51">
        <v>45432</v>
      </c>
      <c r="B1305" s="2">
        <v>7266.6909999999998</v>
      </c>
    </row>
    <row r="1306" spans="1:2" x14ac:dyDescent="0.75">
      <c r="A1306" s="51">
        <v>45433</v>
      </c>
      <c r="B1306" s="2">
        <v>7186.0370000000003</v>
      </c>
    </row>
    <row r="1307" spans="1:2" x14ac:dyDescent="0.75">
      <c r="A1307" s="51">
        <v>45434</v>
      </c>
      <c r="B1307" s="2">
        <v>7222.3819999999996</v>
      </c>
    </row>
    <row r="1308" spans="1:2" x14ac:dyDescent="0.75">
      <c r="A1308" s="51">
        <v>45439</v>
      </c>
      <c r="B1308" s="2">
        <v>7176.42</v>
      </c>
    </row>
    <row r="1309" spans="1:2" x14ac:dyDescent="0.75">
      <c r="A1309" s="51">
        <v>45440</v>
      </c>
      <c r="B1309" s="2">
        <v>7253.6260000000002</v>
      </c>
    </row>
    <row r="1310" spans="1:2" x14ac:dyDescent="0.75">
      <c r="A1310" s="51">
        <v>45441</v>
      </c>
      <c r="B1310" s="2">
        <v>7140.2290000000003</v>
      </c>
    </row>
    <row r="1311" spans="1:2" x14ac:dyDescent="0.75">
      <c r="A1311" s="51">
        <v>45442</v>
      </c>
      <c r="B1311" s="2">
        <v>7034.1419999999998</v>
      </c>
    </row>
    <row r="1312" spans="1:2" x14ac:dyDescent="0.75">
      <c r="A1312" s="51">
        <v>45443</v>
      </c>
      <c r="B1312" s="2">
        <v>6970.7359999999999</v>
      </c>
    </row>
    <row r="1313" spans="1:2" x14ac:dyDescent="0.75">
      <c r="A1313" s="51">
        <v>45446</v>
      </c>
      <c r="B1313" s="2">
        <v>7036.1909999999998</v>
      </c>
    </row>
    <row r="1314" spans="1:2" x14ac:dyDescent="0.75">
      <c r="A1314" s="51">
        <v>45447</v>
      </c>
      <c r="B1314" s="2">
        <v>7099.3119999999999</v>
      </c>
    </row>
    <row r="1315" spans="1:2" x14ac:dyDescent="0.75">
      <c r="A1315" s="51">
        <v>45448</v>
      </c>
      <c r="B1315" s="2">
        <v>6947.67</v>
      </c>
    </row>
    <row r="1316" spans="1:2" x14ac:dyDescent="0.75">
      <c r="A1316" s="51">
        <v>45449</v>
      </c>
      <c r="B1316" s="2">
        <v>6974.8969999999999</v>
      </c>
    </row>
    <row r="1317" spans="1:2" x14ac:dyDescent="0.75">
      <c r="A1317" s="51">
        <v>45450</v>
      </c>
      <c r="B1317" s="2">
        <v>6897.95</v>
      </c>
    </row>
    <row r="1318" spans="1:2" x14ac:dyDescent="0.75">
      <c r="A1318" s="51">
        <v>45453</v>
      </c>
      <c r="B1318" s="2">
        <v>6921.5479999999998</v>
      </c>
    </row>
    <row r="1319" spans="1:2" x14ac:dyDescent="0.75">
      <c r="A1319" s="51">
        <v>45454</v>
      </c>
      <c r="B1319" s="2">
        <v>6855.6909999999998</v>
      </c>
    </row>
    <row r="1320" spans="1:2" x14ac:dyDescent="0.75">
      <c r="A1320" s="51">
        <v>45455</v>
      </c>
      <c r="B1320" s="2">
        <v>6850.0969999999998</v>
      </c>
    </row>
    <row r="1321" spans="1:2" x14ac:dyDescent="0.75">
      <c r="A1321" s="51">
        <v>45456</v>
      </c>
      <c r="B1321" s="2">
        <v>6831.5640000000003</v>
      </c>
    </row>
    <row r="1322" spans="1:2" x14ac:dyDescent="0.75">
      <c r="A1322" s="51">
        <v>45457</v>
      </c>
      <c r="B1322" s="2">
        <v>6734.8320000000003</v>
      </c>
    </row>
    <row r="1323" spans="1:2" x14ac:dyDescent="0.75">
      <c r="A1323" s="51">
        <v>45462</v>
      </c>
      <c r="B1323" s="2">
        <v>6726.9189999999999</v>
      </c>
    </row>
    <row r="1324" spans="1:2" x14ac:dyDescent="0.75">
      <c r="A1324" s="51">
        <v>45463</v>
      </c>
      <c r="B1324" s="2">
        <v>6819.3209999999999</v>
      </c>
    </row>
    <row r="1325" spans="1:2" x14ac:dyDescent="0.75">
      <c r="A1325" s="51">
        <v>45464</v>
      </c>
      <c r="B1325" s="2">
        <v>6879.9780000000001</v>
      </c>
    </row>
    <row r="1326" spans="1:2" x14ac:dyDescent="0.75">
      <c r="A1326" s="51">
        <v>45467</v>
      </c>
      <c r="B1326" s="2">
        <v>6889.165</v>
      </c>
    </row>
    <row r="1327" spans="1:2" x14ac:dyDescent="0.75">
      <c r="A1327" s="51">
        <v>45468</v>
      </c>
      <c r="B1327" s="2">
        <v>6882.7039999999997</v>
      </c>
    </row>
    <row r="1328" spans="1:2" x14ac:dyDescent="0.75">
      <c r="A1328" s="51">
        <v>45469</v>
      </c>
      <c r="B1328" s="2">
        <v>6905.6419999999998</v>
      </c>
    </row>
    <row r="1329" spans="1:2" x14ac:dyDescent="0.75">
      <c r="A1329" s="51">
        <v>45470</v>
      </c>
      <c r="B1329" s="2">
        <v>6967.951</v>
      </c>
    </row>
    <row r="1330" spans="1:2" x14ac:dyDescent="0.75">
      <c r="A1330" s="51">
        <v>45471</v>
      </c>
      <c r="B1330" s="2">
        <v>7063.5770000000002</v>
      </c>
    </row>
    <row r="1331" spans="1:2" x14ac:dyDescent="0.75">
      <c r="A1331" s="51">
        <v>45474</v>
      </c>
      <c r="B1331" s="2">
        <v>7139.6260000000002</v>
      </c>
    </row>
    <row r="1332" spans="1:2" x14ac:dyDescent="0.75">
      <c r="A1332" s="51">
        <v>45475</v>
      </c>
      <c r="B1332" s="2">
        <v>7125.1419999999998</v>
      </c>
    </row>
    <row r="1333" spans="1:2" x14ac:dyDescent="0.75">
      <c r="A1333" s="51">
        <v>45476</v>
      </c>
      <c r="B1333" s="2">
        <v>7196.7550000000001</v>
      </c>
    </row>
    <row r="1334" spans="1:2" x14ac:dyDescent="0.75">
      <c r="A1334" s="51">
        <v>45477</v>
      </c>
      <c r="B1334" s="2">
        <v>7220.8890000000001</v>
      </c>
    </row>
    <row r="1335" spans="1:2" x14ac:dyDescent="0.75">
      <c r="A1335" s="51">
        <v>45478</v>
      </c>
      <c r="B1335" s="2">
        <v>7253.3720000000003</v>
      </c>
    </row>
    <row r="1336" spans="1:2" x14ac:dyDescent="0.75">
      <c r="A1336" s="51">
        <v>45481</v>
      </c>
      <c r="B1336" s="2">
        <v>7250.9769999999999</v>
      </c>
    </row>
    <row r="1337" spans="1:2" x14ac:dyDescent="0.75">
      <c r="A1337" s="51">
        <v>45482</v>
      </c>
      <c r="B1337" s="2">
        <v>7269.8010000000004</v>
      </c>
    </row>
    <row r="1338" spans="1:2" x14ac:dyDescent="0.75">
      <c r="A1338" s="51">
        <v>45483</v>
      </c>
      <c r="B1338" s="2">
        <v>7287.0420000000004</v>
      </c>
    </row>
    <row r="1339" spans="1:2" x14ac:dyDescent="0.75">
      <c r="A1339" s="51">
        <v>45484</v>
      </c>
      <c r="B1339" s="2">
        <v>7300.4070000000002</v>
      </c>
    </row>
    <row r="1340" spans="1:2" x14ac:dyDescent="0.75">
      <c r="A1340" s="51">
        <v>45485</v>
      </c>
      <c r="B1340" s="2">
        <v>7327.58</v>
      </c>
    </row>
    <row r="1341" spans="1:2" x14ac:dyDescent="0.75">
      <c r="A1341" s="51">
        <v>45488</v>
      </c>
      <c r="B1341" s="2">
        <v>7278.8630000000003</v>
      </c>
    </row>
    <row r="1342" spans="1:2" x14ac:dyDescent="0.75">
      <c r="A1342" s="51">
        <v>45489</v>
      </c>
      <c r="B1342" s="2">
        <v>7224.2929999999997</v>
      </c>
    </row>
    <row r="1343" spans="1:2" x14ac:dyDescent="0.75">
      <c r="A1343" s="51">
        <v>45490</v>
      </c>
      <c r="B1343" s="2">
        <v>7224.2179999999998</v>
      </c>
    </row>
    <row r="1344" spans="1:2" x14ac:dyDescent="0.75">
      <c r="A1344" s="51">
        <v>45491</v>
      </c>
      <c r="B1344" s="2">
        <v>7321.0709999999999</v>
      </c>
    </row>
    <row r="1345" spans="1:2" x14ac:dyDescent="0.75">
      <c r="A1345" s="51">
        <v>45492</v>
      </c>
      <c r="B1345" s="2">
        <v>7294.4949999999999</v>
      </c>
    </row>
    <row r="1346" spans="1:2" x14ac:dyDescent="0.75">
      <c r="A1346" s="51">
        <v>45495</v>
      </c>
      <c r="B1346" s="2">
        <v>7321.9759999999997</v>
      </c>
    </row>
    <row r="1347" spans="1:2" x14ac:dyDescent="0.75">
      <c r="A1347" s="51">
        <v>45496</v>
      </c>
      <c r="B1347" s="2">
        <v>7313.857</v>
      </c>
    </row>
    <row r="1348" spans="1:2" x14ac:dyDescent="0.75">
      <c r="A1348" s="51">
        <v>45497</v>
      </c>
      <c r="B1348" s="2">
        <v>7262.759</v>
      </c>
    </row>
    <row r="1349" spans="1:2" x14ac:dyDescent="0.75">
      <c r="A1349" s="51">
        <v>45498</v>
      </c>
      <c r="B1349" s="2">
        <v>7240.277</v>
      </c>
    </row>
    <row r="1350" spans="1:2" x14ac:dyDescent="0.75">
      <c r="A1350" s="51">
        <v>45499</v>
      </c>
      <c r="B1350" s="2">
        <v>7288.1670000000004</v>
      </c>
    </row>
    <row r="1351" spans="1:2" x14ac:dyDescent="0.75">
      <c r="A1351" s="51">
        <v>45502</v>
      </c>
      <c r="B1351" s="2">
        <v>7288.8969999999999</v>
      </c>
    </row>
    <row r="1352" spans="1:2" x14ac:dyDescent="0.75">
      <c r="A1352" s="51">
        <v>45503</v>
      </c>
      <c r="B1352" s="2">
        <v>7241.8639999999996</v>
      </c>
    </row>
    <row r="1353" spans="1:2" x14ac:dyDescent="0.75">
      <c r="A1353" s="51">
        <v>45504</v>
      </c>
      <c r="B1353" s="2">
        <v>7255.7619999999997</v>
      </c>
    </row>
    <row r="1354" spans="1:2" x14ac:dyDescent="0.75">
      <c r="A1354" s="51">
        <v>45505</v>
      </c>
      <c r="B1354" s="2">
        <v>7325.9849999999997</v>
      </c>
    </row>
    <row r="1355" spans="1:2" x14ac:dyDescent="0.75">
      <c r="A1355" s="51">
        <v>45506</v>
      </c>
      <c r="B1355" s="2">
        <v>7308.1229999999996</v>
      </c>
    </row>
    <row r="1356" spans="1:2" x14ac:dyDescent="0.75">
      <c r="A1356" s="51">
        <v>45509</v>
      </c>
      <c r="B1356" s="2">
        <v>7059.6530000000002</v>
      </c>
    </row>
    <row r="1357" spans="1:2" x14ac:dyDescent="0.75">
      <c r="A1357" s="51">
        <v>45510</v>
      </c>
      <c r="B1357" s="2">
        <v>7129.2150000000001</v>
      </c>
    </row>
    <row r="1358" spans="1:2" x14ac:dyDescent="0.75">
      <c r="A1358" s="51">
        <v>45511</v>
      </c>
      <c r="B1358" s="2">
        <v>7212.1310000000003</v>
      </c>
    </row>
    <row r="1359" spans="1:2" x14ac:dyDescent="0.75">
      <c r="A1359" s="51">
        <v>45512</v>
      </c>
      <c r="B1359" s="2">
        <v>7195.1210000000001</v>
      </c>
    </row>
    <row r="1360" spans="1:2" x14ac:dyDescent="0.75">
      <c r="A1360" s="51">
        <v>45513</v>
      </c>
      <c r="B1360" s="2">
        <v>7256.9960000000001</v>
      </c>
    </row>
    <row r="1361" spans="1:2" x14ac:dyDescent="0.75">
      <c r="A1361" s="51">
        <v>45516</v>
      </c>
      <c r="B1361" s="2">
        <v>7297.625</v>
      </c>
    </row>
    <row r="1362" spans="1:2" x14ac:dyDescent="0.75">
      <c r="A1362" s="51">
        <v>45517</v>
      </c>
      <c r="B1362" s="2">
        <v>7356.6379999999999</v>
      </c>
    </row>
    <row r="1363" spans="1:2" x14ac:dyDescent="0.75">
      <c r="A1363" s="51">
        <v>45518</v>
      </c>
      <c r="B1363" s="2">
        <v>7436.0389999999998</v>
      </c>
    </row>
    <row r="1364" spans="1:2" x14ac:dyDescent="0.75">
      <c r="A1364" s="51">
        <v>45519</v>
      </c>
      <c r="B1364" s="2">
        <v>7409.5010000000002</v>
      </c>
    </row>
    <row r="1365" spans="1:2" x14ac:dyDescent="0.75">
      <c r="A1365" s="51">
        <v>45520</v>
      </c>
      <c r="B1365" s="2">
        <v>7432.09</v>
      </c>
    </row>
    <row r="1366" spans="1:2" x14ac:dyDescent="0.75">
      <c r="A1366" s="51">
        <v>45523</v>
      </c>
      <c r="B1366" s="2">
        <v>7466.8310000000001</v>
      </c>
    </row>
    <row r="1367" spans="1:2" x14ac:dyDescent="0.75">
      <c r="A1367" s="51">
        <v>45524</v>
      </c>
      <c r="B1367" s="2">
        <v>7533.9849999999997</v>
      </c>
    </row>
    <row r="1368" spans="1:2" x14ac:dyDescent="0.75">
      <c r="A1368" s="51">
        <v>45525</v>
      </c>
      <c r="B1368" s="2">
        <v>7554.5929999999998</v>
      </c>
    </row>
    <row r="1369" spans="1:2" x14ac:dyDescent="0.75">
      <c r="A1369" s="51">
        <v>45526</v>
      </c>
      <c r="B1369" s="2">
        <v>7488.6760000000004</v>
      </c>
    </row>
    <row r="1370" spans="1:2" x14ac:dyDescent="0.75">
      <c r="A1370" s="51">
        <v>45527</v>
      </c>
      <c r="B1370" s="2">
        <v>7544.2979999999998</v>
      </c>
    </row>
    <row r="1371" spans="1:2" x14ac:dyDescent="0.75">
      <c r="A1371" s="51">
        <v>45530</v>
      </c>
      <c r="B1371" s="2">
        <v>7606.1949999999997</v>
      </c>
    </row>
    <row r="1372" spans="1:2" x14ac:dyDescent="0.75">
      <c r="A1372" s="51">
        <v>45531</v>
      </c>
      <c r="B1372" s="2">
        <v>7597.8810000000003</v>
      </c>
    </row>
    <row r="1373" spans="1:2" x14ac:dyDescent="0.75">
      <c r="A1373" s="51">
        <v>45532</v>
      </c>
      <c r="B1373" s="2">
        <v>7658.875</v>
      </c>
    </row>
    <row r="1374" spans="1:2" x14ac:dyDescent="0.75">
      <c r="A1374" s="51">
        <v>45533</v>
      </c>
      <c r="B1374" s="2">
        <v>7627.6040000000003</v>
      </c>
    </row>
    <row r="1375" spans="1:2" x14ac:dyDescent="0.75">
      <c r="A1375" s="51">
        <v>45534</v>
      </c>
      <c r="B1375" s="2">
        <v>7670.7330000000002</v>
      </c>
    </row>
    <row r="1376" spans="1:2" x14ac:dyDescent="0.75">
      <c r="A1376" s="51">
        <v>45537</v>
      </c>
      <c r="B1376" s="2">
        <v>7694.53</v>
      </c>
    </row>
    <row r="1377" spans="1:2" x14ac:dyDescent="0.75">
      <c r="A1377" s="51">
        <v>45538</v>
      </c>
      <c r="B1377" s="2">
        <v>7616.5209999999997</v>
      </c>
    </row>
    <row r="1378" spans="1:2" x14ac:dyDescent="0.75">
      <c r="A1378" s="51">
        <v>45539</v>
      </c>
      <c r="B1378" s="2">
        <v>7672.8959999999997</v>
      </c>
    </row>
    <row r="1379" spans="1:2" x14ac:dyDescent="0.75">
      <c r="A1379" s="51">
        <v>45540</v>
      </c>
      <c r="B1379" s="2">
        <v>7681.0429999999997</v>
      </c>
    </row>
    <row r="1380" spans="1:2" x14ac:dyDescent="0.75">
      <c r="A1380" s="51">
        <v>45541</v>
      </c>
      <c r="B1380" s="2">
        <v>7721.8459999999995</v>
      </c>
    </row>
    <row r="1381" spans="1:2" x14ac:dyDescent="0.75">
      <c r="A1381" s="51">
        <v>45544</v>
      </c>
      <c r="B1381" s="2">
        <v>7702.7389999999996</v>
      </c>
    </row>
    <row r="1382" spans="1:2" x14ac:dyDescent="0.75">
      <c r="A1382" s="51">
        <v>45545</v>
      </c>
      <c r="B1382" s="2">
        <v>7761.3879999999999</v>
      </c>
    </row>
    <row r="1383" spans="1:2" x14ac:dyDescent="0.75">
      <c r="A1383" s="51">
        <v>45546</v>
      </c>
      <c r="B1383" s="2">
        <v>7760.9549999999999</v>
      </c>
    </row>
    <row r="1384" spans="1:2" x14ac:dyDescent="0.75">
      <c r="A1384" s="51">
        <v>45547</v>
      </c>
      <c r="B1384" s="2">
        <v>7798.1540000000005</v>
      </c>
    </row>
    <row r="1385" spans="1:2" x14ac:dyDescent="0.75">
      <c r="A1385" s="51">
        <v>45548</v>
      </c>
      <c r="B1385" s="2">
        <v>7812.1310000000003</v>
      </c>
    </row>
    <row r="1386" spans="1:2" x14ac:dyDescent="0.75">
      <c r="A1386" s="51">
        <v>45552</v>
      </c>
      <c r="B1386" s="2">
        <v>7831.7790000000005</v>
      </c>
    </row>
    <row r="1387" spans="1:2" x14ac:dyDescent="0.75">
      <c r="A1387" s="51">
        <v>45553</v>
      </c>
      <c r="B1387" s="2">
        <v>7829.1350000000002</v>
      </c>
    </row>
    <row r="1388" spans="1:2" x14ac:dyDescent="0.75">
      <c r="A1388" s="51">
        <v>45554</v>
      </c>
      <c r="B1388" s="2">
        <v>7905.39</v>
      </c>
    </row>
    <row r="1389" spans="1:2" x14ac:dyDescent="0.75">
      <c r="A1389" s="51">
        <v>45555</v>
      </c>
      <c r="B1389" s="2">
        <v>7743.0039999999999</v>
      </c>
    </row>
    <row r="1390" spans="1:2" x14ac:dyDescent="0.75">
      <c r="A1390" s="51">
        <v>45558</v>
      </c>
      <c r="B1390" s="2">
        <v>7775.7309999999998</v>
      </c>
    </row>
    <row r="1391" spans="1:2" x14ac:dyDescent="0.75">
      <c r="A1391" s="51">
        <v>45559</v>
      </c>
      <c r="B1391" s="2">
        <v>7778.491</v>
      </c>
    </row>
    <row r="1392" spans="1:2" x14ac:dyDescent="0.75">
      <c r="A1392" s="51">
        <v>45560</v>
      </c>
      <c r="B1392" s="2">
        <v>7740.902</v>
      </c>
    </row>
    <row r="1393" spans="1:2" x14ac:dyDescent="0.75">
      <c r="A1393" s="51">
        <v>45561</v>
      </c>
      <c r="B1393" s="2">
        <v>7744.5159999999996</v>
      </c>
    </row>
    <row r="1394" spans="1:2" x14ac:dyDescent="0.75">
      <c r="A1394" s="51">
        <v>45562</v>
      </c>
      <c r="B1394" s="2">
        <v>7696.9160000000002</v>
      </c>
    </row>
    <row r="1395" spans="1:2" x14ac:dyDescent="0.75">
      <c r="A1395" s="51">
        <v>45565</v>
      </c>
      <c r="B1395" s="2">
        <v>7527.9290000000001</v>
      </c>
    </row>
    <row r="1396" spans="1:2" x14ac:dyDescent="0.75">
      <c r="A1396" s="51">
        <v>45566</v>
      </c>
      <c r="B1396" s="2">
        <v>7642.1329999999998</v>
      </c>
    </row>
    <row r="1397" spans="1:2" x14ac:dyDescent="0.75">
      <c r="A1397" s="51">
        <v>45567</v>
      </c>
      <c r="B1397" s="2">
        <v>7563.2619999999997</v>
      </c>
    </row>
    <row r="1398" spans="1:2" x14ac:dyDescent="0.75">
      <c r="A1398" s="51">
        <v>45568</v>
      </c>
      <c r="B1398" s="2">
        <v>7543.8280000000004</v>
      </c>
    </row>
    <row r="1399" spans="1:2" x14ac:dyDescent="0.75">
      <c r="A1399" s="51">
        <v>45569</v>
      </c>
      <c r="B1399" s="2">
        <v>7496.0910000000003</v>
      </c>
    </row>
    <row r="1400" spans="1:2" x14ac:dyDescent="0.75">
      <c r="A1400" s="51">
        <v>45572</v>
      </c>
      <c r="B1400" s="2">
        <v>7504.1350000000002</v>
      </c>
    </row>
    <row r="1401" spans="1:2" x14ac:dyDescent="0.75">
      <c r="A1401" s="51">
        <v>45573</v>
      </c>
      <c r="B1401" s="2">
        <v>7557.1419999999998</v>
      </c>
    </row>
    <row r="1402" spans="1:2" x14ac:dyDescent="0.75">
      <c r="A1402" s="51">
        <v>45574</v>
      </c>
      <c r="B1402" s="2">
        <v>7501.2849999999999</v>
      </c>
    </row>
    <row r="1403" spans="1:2" x14ac:dyDescent="0.75">
      <c r="A1403" s="51">
        <v>45575</v>
      </c>
      <c r="B1403" s="2">
        <v>7480.08</v>
      </c>
    </row>
    <row r="1404" spans="1:2" x14ac:dyDescent="0.75">
      <c r="A1404" s="51">
        <v>45576</v>
      </c>
      <c r="B1404" s="2">
        <v>7520.6019999999999</v>
      </c>
    </row>
    <row r="1405" spans="1:2" x14ac:dyDescent="0.75">
      <c r="A1405" s="51">
        <v>45579</v>
      </c>
      <c r="B1405" s="2">
        <v>7559.6549999999997</v>
      </c>
    </row>
    <row r="1406" spans="1:2" x14ac:dyDescent="0.75">
      <c r="A1406" s="51">
        <v>45580</v>
      </c>
      <c r="B1406" s="2">
        <v>7626.951</v>
      </c>
    </row>
    <row r="1407" spans="1:2" x14ac:dyDescent="0.75">
      <c r="A1407" s="51">
        <v>45581</v>
      </c>
      <c r="B1407" s="2">
        <v>7648.94</v>
      </c>
    </row>
    <row r="1408" spans="1:2" x14ac:dyDescent="0.75">
      <c r="A1408" s="51">
        <v>45582</v>
      </c>
      <c r="B1408" s="2">
        <v>7735.0389999999998</v>
      </c>
    </row>
    <row r="1409" spans="1:2" x14ac:dyDescent="0.75">
      <c r="A1409" s="51">
        <v>45583</v>
      </c>
      <c r="B1409" s="2">
        <v>7760.06</v>
      </c>
    </row>
    <row r="1410" spans="1:2" x14ac:dyDescent="0.75">
      <c r="A1410" s="51">
        <v>45586</v>
      </c>
      <c r="B1410" s="2">
        <v>7772.5959999999995</v>
      </c>
    </row>
    <row r="1411" spans="1:2" x14ac:dyDescent="0.75">
      <c r="A1411" s="51">
        <v>45587</v>
      </c>
      <c r="B1411" s="2">
        <v>7788.9830000000002</v>
      </c>
    </row>
    <row r="1412" spans="1:2" x14ac:dyDescent="0.75">
      <c r="A1412" s="51">
        <v>45588</v>
      </c>
      <c r="B1412" s="2">
        <v>7787.5649999999996</v>
      </c>
    </row>
    <row r="1413" spans="1:2" x14ac:dyDescent="0.75">
      <c r="A1413" s="51">
        <v>45589</v>
      </c>
      <c r="B1413" s="2">
        <v>7716.549</v>
      </c>
    </row>
    <row r="1414" spans="1:2" x14ac:dyDescent="0.75">
      <c r="A1414" s="51">
        <v>45590</v>
      </c>
      <c r="B1414" s="2">
        <v>7694.66</v>
      </c>
    </row>
    <row r="1415" spans="1:2" x14ac:dyDescent="0.75">
      <c r="A1415" s="51">
        <v>45593</v>
      </c>
      <c r="B1415" s="2">
        <v>7634.6310000000003</v>
      </c>
    </row>
    <row r="1416" spans="1:2" x14ac:dyDescent="0.75">
      <c r="A1416" s="51">
        <v>45594</v>
      </c>
      <c r="B1416" s="2">
        <v>7606.6</v>
      </c>
    </row>
    <row r="1417" spans="1:2" x14ac:dyDescent="0.75">
      <c r="A1417" s="51">
        <v>45595</v>
      </c>
      <c r="B1417" s="2">
        <v>7569.85</v>
      </c>
    </row>
    <row r="1418" spans="1:2" x14ac:dyDescent="0.75">
      <c r="A1418" s="51">
        <v>45596</v>
      </c>
      <c r="B1418" s="2">
        <v>7574.0190000000002</v>
      </c>
    </row>
    <row r="1419" spans="1:2" x14ac:dyDescent="0.75">
      <c r="A1419" s="51">
        <v>45597</v>
      </c>
      <c r="B1419" s="2">
        <v>7505.2569999999996</v>
      </c>
    </row>
    <row r="1420" spans="1:2" x14ac:dyDescent="0.75">
      <c r="A1420" s="51">
        <v>45600</v>
      </c>
      <c r="B1420" s="2">
        <v>7479.5029999999997</v>
      </c>
    </row>
    <row r="1421" spans="1:2" x14ac:dyDescent="0.75">
      <c r="A1421" s="51">
        <v>45601</v>
      </c>
      <c r="B1421" s="2">
        <v>7491.9309999999996</v>
      </c>
    </row>
    <row r="1422" spans="1:2" x14ac:dyDescent="0.75">
      <c r="A1422" s="51">
        <v>45602</v>
      </c>
      <c r="B1422" s="2">
        <v>7383.8680000000004</v>
      </c>
    </row>
    <row r="1423" spans="1:2" x14ac:dyDescent="0.75">
      <c r="A1423" s="51">
        <v>45603</v>
      </c>
      <c r="B1423" s="2">
        <v>7243.86</v>
      </c>
    </row>
    <row r="1424" spans="1:2" x14ac:dyDescent="0.75">
      <c r="A1424" s="51">
        <v>45604</v>
      </c>
      <c r="B1424" s="2">
        <v>7287.1909999999998</v>
      </c>
    </row>
    <row r="1425" spans="1:2" x14ac:dyDescent="0.75">
      <c r="A1425" s="51">
        <v>45607</v>
      </c>
      <c r="B1425" s="2">
        <v>7266.46</v>
      </c>
    </row>
    <row r="1426" spans="1:2" x14ac:dyDescent="0.75">
      <c r="A1426" s="51">
        <v>45608</v>
      </c>
      <c r="B1426" s="2">
        <v>7321.9859999999999</v>
      </c>
    </row>
    <row r="1427" spans="1:2" x14ac:dyDescent="0.75">
      <c r="A1427" s="51">
        <v>45609</v>
      </c>
      <c r="B1427" s="2">
        <v>7308.6710000000003</v>
      </c>
    </row>
    <row r="1428" spans="1:2" x14ac:dyDescent="0.75">
      <c r="A1428" s="51">
        <v>45610</v>
      </c>
      <c r="B1428" s="2">
        <v>7214.5609999999997</v>
      </c>
    </row>
    <row r="1429" spans="1:2" x14ac:dyDescent="0.75">
      <c r="A1429" s="51">
        <v>45611</v>
      </c>
      <c r="B1429" s="2">
        <v>7161.2579999999998</v>
      </c>
    </row>
    <row r="1430" spans="1:2" x14ac:dyDescent="0.75">
      <c r="A1430" s="51">
        <v>45614</v>
      </c>
      <c r="B1430" s="2">
        <v>7134.277</v>
      </c>
    </row>
    <row r="1431" spans="1:2" x14ac:dyDescent="0.75">
      <c r="A1431" s="51">
        <v>45615</v>
      </c>
      <c r="B1431" s="2">
        <v>7195.7150000000001</v>
      </c>
    </row>
    <row r="1432" spans="1:2" x14ac:dyDescent="0.75">
      <c r="A1432" s="51">
        <v>45616</v>
      </c>
      <c r="B1432" s="2">
        <v>7180.335</v>
      </c>
    </row>
    <row r="1433" spans="1:2" x14ac:dyDescent="0.75">
      <c r="A1433" s="51">
        <v>45617</v>
      </c>
      <c r="B1433" s="2">
        <v>7140.9120000000003</v>
      </c>
    </row>
    <row r="1434" spans="1:2" x14ac:dyDescent="0.75">
      <c r="A1434" s="51">
        <v>45618</v>
      </c>
      <c r="B1434" s="2">
        <v>7195.5649999999996</v>
      </c>
    </row>
    <row r="1435" spans="1:2" x14ac:dyDescent="0.75">
      <c r="A1435" s="51">
        <v>45621</v>
      </c>
      <c r="B1435" s="2">
        <v>7314.1080000000002</v>
      </c>
    </row>
    <row r="1436" spans="1:2" x14ac:dyDescent="0.75">
      <c r="A1436" s="51">
        <v>45622</v>
      </c>
      <c r="B1436" s="2">
        <v>7245.8879999999999</v>
      </c>
    </row>
    <row r="1437" spans="1:2" x14ac:dyDescent="0.75">
      <c r="A1437" s="51">
        <v>45624</v>
      </c>
      <c r="B1437" s="2">
        <v>7200.1570000000002</v>
      </c>
    </row>
    <row r="1438" spans="1:2" x14ac:dyDescent="0.75">
      <c r="A1438" s="51">
        <v>45625</v>
      </c>
      <c r="B1438" s="2">
        <v>7114.2659999999996</v>
      </c>
    </row>
    <row r="1439" spans="1:2" x14ac:dyDescent="0.75">
      <c r="A1439" s="51">
        <v>45628</v>
      </c>
      <c r="B1439" s="2">
        <v>7046.9859999999999</v>
      </c>
    </row>
    <row r="1440" spans="1:2" x14ac:dyDescent="0.75">
      <c r="A1440" s="51">
        <v>45629</v>
      </c>
      <c r="B1440" s="2">
        <v>7196.0169999999998</v>
      </c>
    </row>
    <row r="1441" spans="1:2" x14ac:dyDescent="0.75">
      <c r="A1441" s="51">
        <v>45630</v>
      </c>
      <c r="B1441" s="2">
        <v>7326.7640000000001</v>
      </c>
    </row>
    <row r="1442" spans="1:2" x14ac:dyDescent="0.75">
      <c r="A1442" s="51">
        <v>45631</v>
      </c>
      <c r="B1442" s="2">
        <v>7313.3130000000001</v>
      </c>
    </row>
    <row r="1443" spans="1:2" x14ac:dyDescent="0.75">
      <c r="A1443" s="51">
        <v>45632</v>
      </c>
      <c r="B1443" s="2">
        <v>7382.7849999999999</v>
      </c>
    </row>
    <row r="1444" spans="1:2" x14ac:dyDescent="0.75">
      <c r="A1444" s="51">
        <v>45635</v>
      </c>
      <c r="B1444" s="2">
        <v>7437.7309999999998</v>
      </c>
    </row>
    <row r="1445" spans="1:2" x14ac:dyDescent="0.75">
      <c r="A1445" s="51">
        <v>45636</v>
      </c>
      <c r="B1445" s="2">
        <v>7453.2870000000003</v>
      </c>
    </row>
    <row r="1446" spans="1:2" x14ac:dyDescent="0.75">
      <c r="A1446" s="51">
        <v>45637</v>
      </c>
      <c r="B1446" s="2">
        <v>7464.7520000000004</v>
      </c>
    </row>
    <row r="1447" spans="1:2" x14ac:dyDescent="0.75">
      <c r="A1447" s="51">
        <v>45638</v>
      </c>
      <c r="B1447" s="2">
        <v>7394.2380000000003</v>
      </c>
    </row>
    <row r="1448" spans="1:2" x14ac:dyDescent="0.75">
      <c r="A1448" s="51">
        <v>45639</v>
      </c>
      <c r="B1448" s="2">
        <v>7324.7889999999998</v>
      </c>
    </row>
    <row r="1449" spans="1:2" x14ac:dyDescent="0.75">
      <c r="A1449" s="51">
        <v>45642</v>
      </c>
      <c r="B1449" s="2">
        <v>7258.6310000000003</v>
      </c>
    </row>
    <row r="1450" spans="1:2" x14ac:dyDescent="0.75">
      <c r="A1450" s="51">
        <v>45643</v>
      </c>
      <c r="B1450" s="2">
        <v>7157.732</v>
      </c>
    </row>
    <row r="1451" spans="1:2" x14ac:dyDescent="0.75">
      <c r="A1451" s="51">
        <v>45644</v>
      </c>
      <c r="B1451" s="2">
        <v>7107.875</v>
      </c>
    </row>
    <row r="1452" spans="1:2" x14ac:dyDescent="0.75">
      <c r="A1452" s="51">
        <v>45645</v>
      </c>
      <c r="B1452" s="2">
        <v>6977.2380000000003</v>
      </c>
    </row>
    <row r="1453" spans="1:2" x14ac:dyDescent="0.75">
      <c r="A1453" s="51">
        <v>45646</v>
      </c>
      <c r="B1453" s="2">
        <v>6983.8649999999998</v>
      </c>
    </row>
    <row r="1454" spans="1:2" x14ac:dyDescent="0.75">
      <c r="A1454" s="51">
        <v>45649</v>
      </c>
      <c r="B1454" s="2">
        <v>7096.4449999999997</v>
      </c>
    </row>
    <row r="1455" spans="1:2" x14ac:dyDescent="0.75">
      <c r="A1455" s="51">
        <v>45650</v>
      </c>
      <c r="B1455" s="2">
        <v>7065.7460000000001</v>
      </c>
    </row>
    <row r="1456" spans="1:2" x14ac:dyDescent="0.75">
      <c r="A1456" s="51">
        <v>45653</v>
      </c>
      <c r="B1456" s="2">
        <v>7036.5709999999999</v>
      </c>
    </row>
    <row r="1457" spans="1:2" x14ac:dyDescent="0.75">
      <c r="A1457" s="51">
        <v>45656</v>
      </c>
      <c r="B1457" s="2">
        <v>7079.9049999999997</v>
      </c>
    </row>
    <row r="1458" spans="1:2" x14ac:dyDescent="0.75">
      <c r="A1458" s="51">
        <v>45659</v>
      </c>
      <c r="B1458" s="2">
        <v>7163.2049999999999</v>
      </c>
    </row>
    <row r="1459" spans="1:2" x14ac:dyDescent="0.75">
      <c r="A1459" s="51">
        <v>45660</v>
      </c>
      <c r="B1459" s="2">
        <v>7164.4290000000001</v>
      </c>
    </row>
    <row r="1460" spans="1:2" x14ac:dyDescent="0.75">
      <c r="A1460" s="51">
        <v>45663</v>
      </c>
      <c r="B1460" s="2">
        <v>7080.4740000000002</v>
      </c>
    </row>
    <row r="1461" spans="1:2" x14ac:dyDescent="0.75">
      <c r="A1461" s="51">
        <v>45664</v>
      </c>
      <c r="B1461" s="2">
        <v>7083.2839999999997</v>
      </c>
    </row>
    <row r="1462" spans="1:2" x14ac:dyDescent="0.75">
      <c r="A1462" s="51">
        <v>45665</v>
      </c>
      <c r="B1462" s="2">
        <v>7080.3519999999999</v>
      </c>
    </row>
    <row r="1463" spans="1:2" x14ac:dyDescent="0.75">
      <c r="A1463" s="51">
        <v>45666</v>
      </c>
      <c r="B1463" s="2">
        <v>7064.5879999999997</v>
      </c>
    </row>
    <row r="1464" spans="1:2" x14ac:dyDescent="0.75">
      <c r="A1464" s="51">
        <v>45667</v>
      </c>
      <c r="B1464" s="2">
        <v>7088.866</v>
      </c>
    </row>
    <row r="1465" spans="1:2" x14ac:dyDescent="0.75">
      <c r="A1465" s="51">
        <v>45670</v>
      </c>
      <c r="B1465" s="2">
        <v>7016.8789999999999</v>
      </c>
    </row>
    <row r="1466" spans="1:2" x14ac:dyDescent="0.75">
      <c r="A1466" s="51">
        <v>45671</v>
      </c>
      <c r="B1466" s="2">
        <v>6956.665</v>
      </c>
    </row>
    <row r="1467" spans="1:2" x14ac:dyDescent="0.75">
      <c r="A1467" s="51">
        <v>45672</v>
      </c>
      <c r="B1467" s="2">
        <v>7079.5619999999999</v>
      </c>
    </row>
    <row r="1468" spans="1:2" x14ac:dyDescent="0.75">
      <c r="A1468" s="51">
        <v>45673</v>
      </c>
      <c r="B1468" s="2">
        <v>7107.5190000000002</v>
      </c>
    </row>
    <row r="1469" spans="1:2" x14ac:dyDescent="0.75">
      <c r="A1469" s="51">
        <v>45674</v>
      </c>
      <c r="B1469" s="2">
        <v>7154.6580000000004</v>
      </c>
    </row>
    <row r="1470" spans="1:2" x14ac:dyDescent="0.75">
      <c r="A1470" s="51">
        <v>45677</v>
      </c>
      <c r="B1470" s="2">
        <v>7170.7370000000001</v>
      </c>
    </row>
    <row r="1471" spans="1:2" x14ac:dyDescent="0.75">
      <c r="A1471" s="51">
        <v>45678</v>
      </c>
      <c r="B1471" s="2">
        <v>7181.82</v>
      </c>
    </row>
    <row r="1472" spans="1:2" x14ac:dyDescent="0.75">
      <c r="A1472" s="51">
        <v>45679</v>
      </c>
      <c r="B1472" s="2">
        <v>7257.1279999999997</v>
      </c>
    </row>
    <row r="1473" spans="1:2" x14ac:dyDescent="0.75">
      <c r="A1473" s="51">
        <v>45680</v>
      </c>
      <c r="B1473" s="2">
        <v>7232.643</v>
      </c>
    </row>
    <row r="1474" spans="1:2" x14ac:dyDescent="0.75">
      <c r="A1474" s="51">
        <v>45681</v>
      </c>
      <c r="B1474" s="2">
        <v>7166.0559999999996</v>
      </c>
    </row>
    <row r="1475" spans="1:2" x14ac:dyDescent="0.75">
      <c r="A1475" s="51">
        <v>45687</v>
      </c>
      <c r="B1475" s="2">
        <v>7073.4780000000001</v>
      </c>
    </row>
    <row r="1476" spans="1:2" x14ac:dyDescent="0.75">
      <c r="A1476" s="51">
        <v>45688</v>
      </c>
      <c r="B1476" s="2">
        <v>7109.1959999999999</v>
      </c>
    </row>
    <row r="1477" spans="1:2" x14ac:dyDescent="0.75">
      <c r="A1477" s="51">
        <v>45691</v>
      </c>
      <c r="B1477" s="2">
        <v>7030.058</v>
      </c>
    </row>
    <row r="1478" spans="1:2" x14ac:dyDescent="0.75">
      <c r="A1478" s="51">
        <v>45692</v>
      </c>
      <c r="B1478" s="2">
        <v>7073.4589999999998</v>
      </c>
    </row>
    <row r="1479" spans="1:2" x14ac:dyDescent="0.75">
      <c r="A1479" s="51">
        <v>45693</v>
      </c>
      <c r="B1479" s="2">
        <v>7024.2280000000001</v>
      </c>
    </row>
    <row r="1480" spans="1:2" x14ac:dyDescent="0.75">
      <c r="A1480" s="51">
        <v>45694</v>
      </c>
      <c r="B1480" s="2">
        <v>6875.5360000000001</v>
      </c>
    </row>
    <row r="1481" spans="1:2" x14ac:dyDescent="0.75">
      <c r="A1481" s="51">
        <v>45695</v>
      </c>
      <c r="B1481" s="2">
        <v>6742.576</v>
      </c>
    </row>
    <row r="1482" spans="1:2" x14ac:dyDescent="0.75">
      <c r="A1482" s="51">
        <v>45698</v>
      </c>
      <c r="B1482" s="2">
        <v>6648.1419999999998</v>
      </c>
    </row>
    <row r="1483" spans="1:2" x14ac:dyDescent="0.75">
      <c r="A1483" s="51">
        <v>45699</v>
      </c>
      <c r="B1483" s="2">
        <v>6531.99</v>
      </c>
    </row>
    <row r="1484" spans="1:2" x14ac:dyDescent="0.75">
      <c r="A1484" s="51">
        <v>45700</v>
      </c>
      <c r="B1484" s="2">
        <v>6645.7780000000002</v>
      </c>
    </row>
    <row r="1485" spans="1:2" x14ac:dyDescent="0.75">
      <c r="A1485" s="51">
        <v>45701</v>
      </c>
      <c r="B1485" s="2">
        <v>6613.5680000000002</v>
      </c>
    </row>
    <row r="1486" spans="1:2" x14ac:dyDescent="0.75">
      <c r="A1486" s="51">
        <v>45702</v>
      </c>
      <c r="B1486" s="2">
        <v>6638.4589999999998</v>
      </c>
    </row>
    <row r="1487" spans="1:2" x14ac:dyDescent="0.75">
      <c r="A1487" s="51">
        <v>45705</v>
      </c>
      <c r="B1487" s="2">
        <v>6830.8819999999996</v>
      </c>
    </row>
    <row r="1488" spans="1:2" x14ac:dyDescent="0.75">
      <c r="A1488" s="51">
        <v>45706</v>
      </c>
      <c r="B1488" s="2">
        <v>6873.5540000000001</v>
      </c>
    </row>
    <row r="1489" spans="1:2" x14ac:dyDescent="0.75">
      <c r="A1489" s="51">
        <v>45707</v>
      </c>
      <c r="B1489" s="2">
        <v>6794.8680000000004</v>
      </c>
    </row>
    <row r="1490" spans="1:2" x14ac:dyDescent="0.75">
      <c r="A1490" s="51">
        <v>45708</v>
      </c>
      <c r="B1490" s="2">
        <v>6788.0420000000004</v>
      </c>
    </row>
    <row r="1491" spans="1:2" x14ac:dyDescent="0.75">
      <c r="A1491" s="51">
        <v>45709</v>
      </c>
      <c r="B1491" s="2">
        <v>6803.0010000000002</v>
      </c>
    </row>
    <row r="1492" spans="1:2" x14ac:dyDescent="0.75">
      <c r="A1492" s="51">
        <v>45712</v>
      </c>
      <c r="B1492" s="2">
        <v>6749.6009999999997</v>
      </c>
    </row>
    <row r="1493" spans="1:2" x14ac:dyDescent="0.75">
      <c r="A1493" s="51">
        <v>45713</v>
      </c>
      <c r="B1493" s="2">
        <v>6587.0870000000004</v>
      </c>
    </row>
    <row r="1494" spans="1:2" x14ac:dyDescent="0.75">
      <c r="A1494" s="51">
        <v>45714</v>
      </c>
      <c r="B1494" s="2">
        <v>6606.1779999999999</v>
      </c>
    </row>
    <row r="1495" spans="1:2" x14ac:dyDescent="0.75">
      <c r="A1495" s="51">
        <v>45715</v>
      </c>
      <c r="B1495" s="2">
        <v>6485.4480000000003</v>
      </c>
    </row>
    <row r="1496" spans="1:2" x14ac:dyDescent="0.75">
      <c r="A1496" s="51">
        <v>45716</v>
      </c>
      <c r="B1496" s="2">
        <v>6270.5969999999998</v>
      </c>
    </row>
    <row r="1497" spans="1:2" x14ac:dyDescent="0.75">
      <c r="A1497" s="51">
        <v>45719</v>
      </c>
      <c r="B1497" s="2">
        <v>6519.6580000000004</v>
      </c>
    </row>
    <row r="1498" spans="1:2" x14ac:dyDescent="0.75">
      <c r="A1498" s="51">
        <v>45720</v>
      </c>
      <c r="B1498" s="2">
        <v>6380.4009999999998</v>
      </c>
    </row>
    <row r="1499" spans="1:2" x14ac:dyDescent="0.75">
      <c r="A1499" s="51">
        <v>45721</v>
      </c>
      <c r="B1499" s="2">
        <v>6531.3990000000003</v>
      </c>
    </row>
    <row r="1500" spans="1:2" x14ac:dyDescent="0.75">
      <c r="A1500" s="51">
        <v>45722</v>
      </c>
      <c r="B1500" s="2">
        <v>6617.8469999999998</v>
      </c>
    </row>
    <row r="1501" spans="1:2" x14ac:dyDescent="0.75">
      <c r="A1501" s="51">
        <v>45723</v>
      </c>
      <c r="B1501" s="2">
        <v>6636</v>
      </c>
    </row>
    <row r="1502" spans="1:2" x14ac:dyDescent="0.75">
      <c r="A1502" s="51">
        <v>45726</v>
      </c>
      <c r="B1502" s="2">
        <v>6598.2120000000004</v>
      </c>
    </row>
    <row r="1503" spans="1:2" x14ac:dyDescent="0.75">
      <c r="A1503" s="51">
        <v>45727</v>
      </c>
      <c r="B1503" s="2">
        <v>6545.85</v>
      </c>
    </row>
    <row r="1504" spans="1:2" x14ac:dyDescent="0.75">
      <c r="A1504" s="51">
        <v>45728</v>
      </c>
      <c r="B1504" s="2">
        <v>6665.0450000000001</v>
      </c>
    </row>
    <row r="1505" spans="1:2" x14ac:dyDescent="0.75">
      <c r="A1505" s="51">
        <v>45729</v>
      </c>
      <c r="B1505" s="2">
        <v>6647.4170000000004</v>
      </c>
    </row>
    <row r="1506" spans="1:2" x14ac:dyDescent="0.75">
      <c r="A1506" s="51">
        <v>45730</v>
      </c>
      <c r="B1506" s="2">
        <v>6515.6310000000003</v>
      </c>
    </row>
    <row r="1507" spans="1:2" x14ac:dyDescent="0.75">
      <c r="A1507" s="51">
        <v>45733</v>
      </c>
      <c r="B1507" s="2">
        <v>6471.9470000000001</v>
      </c>
    </row>
    <row r="1508" spans="1:2" x14ac:dyDescent="0.75">
      <c r="A1508" s="51">
        <v>45734</v>
      </c>
      <c r="B1508" s="2">
        <v>6223.3879999999999</v>
      </c>
    </row>
    <row r="1509" spans="1:2" x14ac:dyDescent="0.75">
      <c r="A1509" s="51">
        <v>45735</v>
      </c>
      <c r="B1509" s="2">
        <v>6311.66</v>
      </c>
    </row>
    <row r="1510" spans="1:2" x14ac:dyDescent="0.75">
      <c r="A1510" s="51">
        <v>45736</v>
      </c>
      <c r="B1510" s="2">
        <v>6381.674</v>
      </c>
    </row>
    <row r="1511" spans="1:2" x14ac:dyDescent="0.75">
      <c r="A1511" s="51">
        <v>45737</v>
      </c>
      <c r="B1511" s="2">
        <v>6258.1790000000001</v>
      </c>
    </row>
    <row r="1512" spans="1:2" x14ac:dyDescent="0.75">
      <c r="A1512" s="51">
        <v>45740</v>
      </c>
      <c r="B1512" s="2">
        <v>6161.2179999999998</v>
      </c>
    </row>
    <row r="1513" spans="1:2" x14ac:dyDescent="0.75">
      <c r="A1513" s="51">
        <v>45741</v>
      </c>
      <c r="B1513" s="2">
        <v>6235.6189999999997</v>
      </c>
    </row>
    <row r="1514" spans="1:2" x14ac:dyDescent="0.75">
      <c r="A1514" s="51">
        <v>45742</v>
      </c>
      <c r="B1514" s="2">
        <v>6472.3559999999998</v>
      </c>
    </row>
    <row r="1515" spans="1:2" x14ac:dyDescent="0.75">
      <c r="A1515" s="51">
        <v>45743</v>
      </c>
      <c r="B1515" s="2">
        <v>6510.62</v>
      </c>
    </row>
    <row r="1516" spans="1:2" x14ac:dyDescent="0.75">
      <c r="A1516" s="51">
        <v>45755</v>
      </c>
      <c r="B1516" s="2">
        <v>5996.1419999999998</v>
      </c>
    </row>
    <row r="1517" spans="1:2" x14ac:dyDescent="0.75">
      <c r="A1517" s="51">
        <v>45756</v>
      </c>
      <c r="B1517" s="2">
        <v>5967.9880000000003</v>
      </c>
    </row>
    <row r="1518" spans="1:2" x14ac:dyDescent="0.75">
      <c r="A1518" s="51">
        <v>45757</v>
      </c>
      <c r="B1518" s="2">
        <v>6254.0240000000003</v>
      </c>
    </row>
    <row r="1519" spans="1:2" x14ac:dyDescent="0.75">
      <c r="A1519" s="51">
        <v>45758</v>
      </c>
      <c r="B1519" s="2">
        <v>6262.2259999999997</v>
      </c>
    </row>
    <row r="1520" spans="1:2" x14ac:dyDescent="0.75">
      <c r="A1520" s="51">
        <v>45761</v>
      </c>
      <c r="B1520" s="2">
        <v>6368.5169999999998</v>
      </c>
    </row>
    <row r="1521" spans="1:2" x14ac:dyDescent="0.75">
      <c r="A1521" s="51">
        <v>45762</v>
      </c>
      <c r="B1521" s="2">
        <v>6441.683</v>
      </c>
    </row>
    <row r="1522" spans="1:2" x14ac:dyDescent="0.75">
      <c r="A1522" s="51">
        <v>45763</v>
      </c>
      <c r="B1522" s="2">
        <v>6400.0540000000001</v>
      </c>
    </row>
    <row r="1523" spans="1:2" x14ac:dyDescent="0.75">
      <c r="A1523" s="51">
        <v>45764</v>
      </c>
      <c r="B1523" s="2">
        <v>6438.2690000000002</v>
      </c>
    </row>
    <row r="1524" spans="1:2" x14ac:dyDescent="0.75">
      <c r="A1524" s="51">
        <v>45768</v>
      </c>
      <c r="B1524" s="2">
        <v>6445.9669999999996</v>
      </c>
    </row>
    <row r="1525" spans="1:2" x14ac:dyDescent="0.75">
      <c r="A1525" s="51">
        <v>45769</v>
      </c>
      <c r="B1525" s="2">
        <v>6538.2659999999996</v>
      </c>
    </row>
    <row r="1526" spans="1:2" x14ac:dyDescent="0.75">
      <c r="A1526" s="51">
        <v>45770</v>
      </c>
      <c r="B1526" s="2">
        <v>6634.3770000000004</v>
      </c>
    </row>
    <row r="1527" spans="1:2" x14ac:dyDescent="0.75">
      <c r="A1527" s="51">
        <v>45771</v>
      </c>
      <c r="B1527" s="2">
        <v>6613.4780000000001</v>
      </c>
    </row>
    <row r="1528" spans="1:2" x14ac:dyDescent="0.75">
      <c r="A1528" s="51">
        <v>45772</v>
      </c>
      <c r="B1528" s="2">
        <v>6678.915</v>
      </c>
    </row>
    <row r="1529" spans="1:2" x14ac:dyDescent="0.75">
      <c r="A1529" s="51">
        <v>45775</v>
      </c>
      <c r="B1529" s="2">
        <v>6722.9660000000003</v>
      </c>
    </row>
    <row r="1530" spans="1:2" x14ac:dyDescent="0.75">
      <c r="A1530" s="51">
        <v>45776</v>
      </c>
      <c r="B1530" s="2">
        <v>6749.0749999999998</v>
      </c>
    </row>
    <row r="1531" spans="1:2" x14ac:dyDescent="0.75">
      <c r="A1531" s="51">
        <v>45777</v>
      </c>
      <c r="B1531" s="2">
        <v>6766.7950000000001</v>
      </c>
    </row>
    <row r="1532" spans="1:2" x14ac:dyDescent="0.75">
      <c r="A1532" s="51">
        <v>45779</v>
      </c>
      <c r="B1532" s="2">
        <v>6815.73</v>
      </c>
    </row>
    <row r="1533" spans="1:2" x14ac:dyDescent="0.75">
      <c r="A1533" s="51">
        <v>45782</v>
      </c>
      <c r="B1533" s="2">
        <v>6831.9520000000002</v>
      </c>
    </row>
    <row r="1534" spans="1:2" x14ac:dyDescent="0.75">
      <c r="A1534" s="51">
        <v>45783</v>
      </c>
      <c r="B1534" s="2">
        <v>6898.1970000000001</v>
      </c>
    </row>
    <row r="1535" spans="1:2" x14ac:dyDescent="0.75">
      <c r="A1535" s="51">
        <v>45784</v>
      </c>
      <c r="B1535" s="2">
        <v>6926.2250000000004</v>
      </c>
    </row>
    <row r="1536" spans="1:2" x14ac:dyDescent="0.75">
      <c r="A1536" s="51">
        <v>45785</v>
      </c>
      <c r="B1536" s="2">
        <v>6827.75</v>
      </c>
    </row>
    <row r="1537" spans="1:2" x14ac:dyDescent="0.75">
      <c r="A1537" s="51">
        <v>45786</v>
      </c>
      <c r="B1537" s="2">
        <v>6832.8029999999999</v>
      </c>
    </row>
    <row r="1538" spans="1:2" x14ac:dyDescent="0.75">
      <c r="A1538" s="51">
        <v>45791</v>
      </c>
      <c r="B1538" s="2">
        <v>6979.88</v>
      </c>
    </row>
    <row r="1539" spans="1:2" x14ac:dyDescent="0.75">
      <c r="A1539" s="51">
        <v>45792</v>
      </c>
      <c r="B1539" s="2">
        <v>7040.1610000000001</v>
      </c>
    </row>
    <row r="1540" spans="1:2" x14ac:dyDescent="0.75">
      <c r="A1540" s="51">
        <v>45793</v>
      </c>
      <c r="B1540" s="2">
        <v>7106.5259999999998</v>
      </c>
    </row>
    <row r="1541" spans="1:2" x14ac:dyDescent="0.75">
      <c r="A1541" s="51">
        <v>45796</v>
      </c>
      <c r="B1541" s="2">
        <v>7141.0910000000003</v>
      </c>
    </row>
    <row r="1542" spans="1:2" x14ac:dyDescent="0.75">
      <c r="A1542" s="51">
        <v>45797</v>
      </c>
      <c r="B1542" s="2">
        <v>7094.6019999999999</v>
      </c>
    </row>
    <row r="1543" spans="1:2" x14ac:dyDescent="0.75">
      <c r="A1543" s="51">
        <v>45798</v>
      </c>
      <c r="B1543" s="2">
        <v>7142.4610000000002</v>
      </c>
    </row>
    <row r="1544" spans="1:2" x14ac:dyDescent="0.75">
      <c r="A1544" s="51">
        <v>45799</v>
      </c>
      <c r="B1544" s="2">
        <v>7166.9809999999998</v>
      </c>
    </row>
    <row r="1545" spans="1:2" x14ac:dyDescent="0.75">
      <c r="A1545" s="51">
        <v>45800</v>
      </c>
      <c r="B1545" s="2">
        <v>7214.1629999999996</v>
      </c>
    </row>
    <row r="1546" spans="1:2" x14ac:dyDescent="0.75">
      <c r="A1546" s="51">
        <v>45803</v>
      </c>
      <c r="B1546" s="2">
        <v>7188.3530000000001</v>
      </c>
    </row>
    <row r="1547" spans="1:2" x14ac:dyDescent="0.75">
      <c r="A1547" s="51">
        <v>45804</v>
      </c>
      <c r="B1547" s="2">
        <v>7198.9669999999996</v>
      </c>
    </row>
    <row r="1548" spans="1:2" x14ac:dyDescent="0.75">
      <c r="A1548" s="51">
        <v>45805</v>
      </c>
      <c r="B1548" s="2">
        <v>7175.8190000000004</v>
      </c>
    </row>
    <row r="1549" spans="1:2" x14ac:dyDescent="0.75">
      <c r="A1549" s="51">
        <v>45810</v>
      </c>
      <c r="B1549" s="2">
        <v>7065.0690000000004</v>
      </c>
    </row>
    <row r="1550" spans="1:2" x14ac:dyDescent="0.75">
      <c r="A1550" s="51">
        <v>45811</v>
      </c>
      <c r="B1550" s="2">
        <v>7044.8220000000001</v>
      </c>
    </row>
    <row r="1551" spans="1:2" x14ac:dyDescent="0.75">
      <c r="A1551" s="51">
        <v>45812</v>
      </c>
      <c r="B1551" s="2">
        <v>7069.0370000000003</v>
      </c>
    </row>
    <row r="1552" spans="1:2" x14ac:dyDescent="0.75">
      <c r="A1552" s="51">
        <v>45813</v>
      </c>
      <c r="B1552" s="2">
        <v>7113.4250000000002</v>
      </c>
    </row>
    <row r="1553" spans="1:2" x14ac:dyDescent="0.75">
      <c r="A1553" s="51">
        <v>45818</v>
      </c>
      <c r="B1553" s="2">
        <v>7230.7449999999999</v>
      </c>
    </row>
    <row r="1554" spans="1:2" x14ac:dyDescent="0.75">
      <c r="A1554" s="51">
        <v>45819</v>
      </c>
      <c r="B1554" s="2">
        <v>7222.4560000000001</v>
      </c>
    </row>
    <row r="1555" spans="1:2" x14ac:dyDescent="0.75">
      <c r="A1555" s="51">
        <v>45820</v>
      </c>
      <c r="B1555" s="2">
        <v>7204.37</v>
      </c>
    </row>
    <row r="1556" spans="1:2" x14ac:dyDescent="0.75">
      <c r="A1556" s="51">
        <v>45821</v>
      </c>
      <c r="B1556" s="2">
        <v>7166.0649999999996</v>
      </c>
    </row>
    <row r="1557" spans="1:2" x14ac:dyDescent="0.75">
      <c r="A1557" s="51">
        <v>45824</v>
      </c>
      <c r="B1557" s="2">
        <v>7117.5910000000003</v>
      </c>
    </row>
    <row r="1558" spans="1:2" x14ac:dyDescent="0.75">
      <c r="A1558" s="51">
        <v>45825</v>
      </c>
      <c r="B1558" s="2">
        <v>7155.8519999999999</v>
      </c>
    </row>
    <row r="1559" spans="1:2" x14ac:dyDescent="0.75">
      <c r="A1559" s="51">
        <v>45826</v>
      </c>
      <c r="B1559" s="2">
        <v>7107.7889999999998</v>
      </c>
    </row>
    <row r="1560" spans="1:2" x14ac:dyDescent="0.75">
      <c r="A1560" s="51">
        <v>45827</v>
      </c>
      <c r="B1560" s="2">
        <v>6968.6390000000001</v>
      </c>
    </row>
    <row r="1561" spans="1:2" x14ac:dyDescent="0.75">
      <c r="A1561" s="51">
        <v>45828</v>
      </c>
      <c r="B1561" s="2">
        <v>6907.1379999999999</v>
      </c>
    </row>
    <row r="1562" spans="1:2" x14ac:dyDescent="0.75">
      <c r="A1562" s="51">
        <v>45831</v>
      </c>
      <c r="B1562" s="2">
        <v>6787.14</v>
      </c>
    </row>
    <row r="1563" spans="1:2" x14ac:dyDescent="0.75">
      <c r="A1563" s="51">
        <v>45832</v>
      </c>
      <c r="B1563" s="2">
        <v>6869.1710000000003</v>
      </c>
    </row>
    <row r="1564" spans="1:2" x14ac:dyDescent="0.75">
      <c r="A1564" s="51">
        <v>45833</v>
      </c>
      <c r="B1564" s="2">
        <v>6832.143</v>
      </c>
    </row>
    <row r="1565" spans="1:2" x14ac:dyDescent="0.75">
      <c r="A1565" s="51">
        <v>45834</v>
      </c>
      <c r="B1565" s="2">
        <v>6897.4</v>
      </c>
    </row>
    <row r="1566" spans="1:2" x14ac:dyDescent="0.75">
      <c r="A1566" s="51">
        <v>45838</v>
      </c>
      <c r="B1566" s="2">
        <v>6927.6790000000001</v>
      </c>
    </row>
    <row r="1567" spans="1:2" x14ac:dyDescent="0.75">
      <c r="A1567" s="51">
        <v>45839</v>
      </c>
      <c r="B1567" s="2">
        <v>6915.36</v>
      </c>
    </row>
    <row r="1568" spans="1:2" x14ac:dyDescent="0.75">
      <c r="A1568" s="51">
        <v>45840</v>
      </c>
      <c r="B1568" s="2">
        <v>6881.2449999999999</v>
      </c>
    </row>
    <row r="1569" spans="1:2" x14ac:dyDescent="0.75">
      <c r="A1569" s="51">
        <v>45841</v>
      </c>
      <c r="B1569" s="2">
        <v>6878.0510000000004</v>
      </c>
    </row>
    <row r="1570" spans="1:2" x14ac:dyDescent="0.75">
      <c r="A1570" s="51">
        <v>45842</v>
      </c>
      <c r="B1570" s="2">
        <v>6865.192</v>
      </c>
    </row>
    <row r="1571" spans="1:2" x14ac:dyDescent="0.75">
      <c r="A1571" s="51">
        <v>45845</v>
      </c>
      <c r="B1571" s="2">
        <v>6900.9319999999998</v>
      </c>
    </row>
    <row r="1572" spans="1:2" x14ac:dyDescent="0.75">
      <c r="A1572" s="51">
        <v>45846</v>
      </c>
      <c r="B1572" s="2">
        <v>6904.3919999999998</v>
      </c>
    </row>
    <row r="1573" spans="1:2" x14ac:dyDescent="0.75">
      <c r="A1573" s="51">
        <v>45847</v>
      </c>
      <c r="B1573" s="2">
        <v>6943.9219999999996</v>
      </c>
    </row>
    <row r="1574" spans="1:2" x14ac:dyDescent="0.75">
      <c r="A1574" s="51">
        <v>45848</v>
      </c>
      <c r="B1574" s="2">
        <v>7005.3710000000001</v>
      </c>
    </row>
    <row r="1575" spans="1:2" x14ac:dyDescent="0.75">
      <c r="A1575" s="51">
        <v>45849</v>
      </c>
      <c r="B1575" s="2">
        <v>7047.4380000000001</v>
      </c>
    </row>
    <row r="1576" spans="1:2" x14ac:dyDescent="0.75">
      <c r="A1576" s="51">
        <v>45852</v>
      </c>
      <c r="B1576" s="2">
        <v>7097.1509999999998</v>
      </c>
    </row>
    <row r="1577" spans="1:2" x14ac:dyDescent="0.75">
      <c r="A1577" s="51">
        <v>45853</v>
      </c>
      <c r="B1577" s="2">
        <v>7140.4740000000002</v>
      </c>
    </row>
    <row r="1578" spans="1:2" x14ac:dyDescent="0.75">
      <c r="A1578" s="51">
        <v>45854</v>
      </c>
      <c r="B1578" s="2">
        <v>7192.018</v>
      </c>
    </row>
    <row r="1579" spans="1:2" x14ac:dyDescent="0.75">
      <c r="A1579" s="51">
        <v>45855</v>
      </c>
      <c r="B1579" s="2">
        <v>7287.0209999999997</v>
      </c>
    </row>
    <row r="1580" spans="1:2" x14ac:dyDescent="0.75">
      <c r="A1580" s="51">
        <v>45856</v>
      </c>
      <c r="B1580" s="2">
        <v>7311.915</v>
      </c>
    </row>
    <row r="1581" spans="1:2" x14ac:dyDescent="0.75">
      <c r="A1581" s="51">
        <v>45859</v>
      </c>
      <c r="B1581" s="2">
        <v>7398.192</v>
      </c>
    </row>
    <row r="1582" spans="1:2" x14ac:dyDescent="0.75">
      <c r="A1582" s="51">
        <v>45860</v>
      </c>
      <c r="B1582" s="2">
        <v>7344.7359999999999</v>
      </c>
    </row>
    <row r="1583" spans="1:2" x14ac:dyDescent="0.75">
      <c r="A1583" s="51">
        <v>45861</v>
      </c>
      <c r="B1583" s="2">
        <v>7469.23</v>
      </c>
    </row>
    <row r="1584" spans="1:2" x14ac:dyDescent="0.75">
      <c r="A1584" s="51">
        <v>45862</v>
      </c>
      <c r="B1584" s="2">
        <v>7530.902</v>
      </c>
    </row>
    <row r="1585" spans="1:2" x14ac:dyDescent="0.75">
      <c r="A1585" s="51">
        <v>45863</v>
      </c>
      <c r="B1585" s="2">
        <v>7543.5029999999997</v>
      </c>
    </row>
    <row r="1586" spans="1:2" x14ac:dyDescent="0.75">
      <c r="A1586" s="51">
        <v>45866</v>
      </c>
      <c r="B1586" s="2">
        <v>7614.768</v>
      </c>
    </row>
    <row r="1587" spans="1:2" x14ac:dyDescent="0.75">
      <c r="A1587" s="51">
        <v>45867</v>
      </c>
      <c r="B1587" s="2">
        <v>7617.9070000000002</v>
      </c>
    </row>
    <row r="1588" spans="1:2" x14ac:dyDescent="0.75">
      <c r="A1588" s="51">
        <v>45868</v>
      </c>
      <c r="B1588" s="2">
        <v>7549.8879999999999</v>
      </c>
    </row>
    <row r="1589" spans="1:2" x14ac:dyDescent="0.75">
      <c r="A1589" s="51">
        <v>45869</v>
      </c>
      <c r="B1589" s="2">
        <v>7484.3370000000004</v>
      </c>
    </row>
    <row r="1590" spans="1:2" x14ac:dyDescent="0.75">
      <c r="A1590" s="51">
        <v>45870</v>
      </c>
      <c r="B1590" s="2">
        <v>7537.768</v>
      </c>
    </row>
    <row r="1591" spans="1:2" x14ac:dyDescent="0.75">
      <c r="A1591" s="51">
        <v>45873</v>
      </c>
      <c r="B1591" s="2">
        <v>7464.6450000000004</v>
      </c>
    </row>
    <row r="1592" spans="1:2" x14ac:dyDescent="0.75">
      <c r="A1592" s="51">
        <v>45874</v>
      </c>
      <c r="B1592" s="2">
        <v>7515.1850000000004</v>
      </c>
    </row>
    <row r="1593" spans="1:2" x14ac:dyDescent="0.75">
      <c r="A1593" s="51">
        <v>45875</v>
      </c>
      <c r="B1593" s="2">
        <v>7503.75</v>
      </c>
    </row>
    <row r="1594" spans="1:2" x14ac:dyDescent="0.75">
      <c r="A1594" s="51">
        <v>45876</v>
      </c>
      <c r="B1594" s="2">
        <v>7490.183</v>
      </c>
    </row>
    <row r="1595" spans="1:2" x14ac:dyDescent="0.75">
      <c r="A1595" s="51">
        <v>45877</v>
      </c>
      <c r="B1595" s="2">
        <v>7533.3850000000002</v>
      </c>
    </row>
    <row r="1596" spans="1:2" x14ac:dyDescent="0.75">
      <c r="A1596" s="51">
        <v>45880</v>
      </c>
      <c r="B1596" s="2">
        <v>7605.9250000000002</v>
      </c>
    </row>
    <row r="1597" spans="1:2" x14ac:dyDescent="0.75">
      <c r="A1597" s="51">
        <v>45881</v>
      </c>
      <c r="B1597" s="2">
        <v>7791.6970000000001</v>
      </c>
    </row>
    <row r="1598" spans="1:2" x14ac:dyDescent="0.75">
      <c r="A1598" s="51">
        <v>45882</v>
      </c>
      <c r="B1598" s="2">
        <v>7892.9110000000001</v>
      </c>
    </row>
    <row r="1599" spans="1:2" x14ac:dyDescent="0.75">
      <c r="A1599" s="51">
        <v>45883</v>
      </c>
      <c r="B1599" s="2">
        <v>7931.2510000000002</v>
      </c>
    </row>
    <row r="1600" spans="1:2" x14ac:dyDescent="0.75">
      <c r="A1600" s="51">
        <v>45884</v>
      </c>
      <c r="B1600" s="2">
        <v>7898.375</v>
      </c>
    </row>
    <row r="1601" spans="1:2" x14ac:dyDescent="0.75">
      <c r="A1601" s="51">
        <v>45888</v>
      </c>
      <c r="B1601" s="2">
        <v>7862.9489999999996</v>
      </c>
    </row>
    <row r="1602" spans="1:2" x14ac:dyDescent="0.75">
      <c r="A1602" s="51">
        <v>45889</v>
      </c>
      <c r="B1602" s="2">
        <v>7943.8249999999998</v>
      </c>
    </row>
    <row r="1603" spans="1:2" x14ac:dyDescent="0.75">
      <c r="A1603" s="51">
        <v>45890</v>
      </c>
      <c r="B1603" s="2">
        <v>7890.7150000000001</v>
      </c>
    </row>
    <row r="1604" spans="1:2" x14ac:dyDescent="0.75">
      <c r="A1604" s="51">
        <v>45891</v>
      </c>
      <c r="B1604" s="2">
        <v>7858.8509999999997</v>
      </c>
    </row>
    <row r="1605" spans="1:2" x14ac:dyDescent="0.75">
      <c r="A1605" s="51">
        <v>45894</v>
      </c>
      <c r="B1605" s="2">
        <v>7926.9070000000002</v>
      </c>
    </row>
    <row r="1606" spans="1:2" x14ac:dyDescent="0.75">
      <c r="A1606" s="51">
        <v>45895</v>
      </c>
      <c r="B1606" s="2">
        <v>7905.7569999999996</v>
      </c>
    </row>
    <row r="1607" spans="1:2" x14ac:dyDescent="0.75">
      <c r="A1607" s="51">
        <v>45896</v>
      </c>
      <c r="B1607" s="2">
        <v>7936.1760000000004</v>
      </c>
    </row>
    <row r="1608" spans="1:2" x14ac:dyDescent="0.75">
      <c r="A1608" s="51">
        <v>45897</v>
      </c>
      <c r="B1608" s="2">
        <v>7952.0879999999997</v>
      </c>
    </row>
    <row r="1609" spans="1:2" x14ac:dyDescent="0.75">
      <c r="A1609" s="51">
        <v>45898</v>
      </c>
      <c r="B1609" s="2">
        <v>7830.4930000000004</v>
      </c>
    </row>
    <row r="1610" spans="1:2" x14ac:dyDescent="0.75">
      <c r="A1610" s="51">
        <v>45901</v>
      </c>
      <c r="B1610" s="2">
        <v>7736.0659999999998</v>
      </c>
    </row>
    <row r="1611" spans="1:2" x14ac:dyDescent="0.75">
      <c r="A1611" s="51">
        <v>45902</v>
      </c>
      <c r="B1611" s="2">
        <v>7801.585</v>
      </c>
    </row>
    <row r="1612" spans="1:2" x14ac:dyDescent="0.75">
      <c r="A1612" s="51">
        <v>45903</v>
      </c>
      <c r="B1612" s="2">
        <v>7885.8630000000003</v>
      </c>
    </row>
    <row r="1613" spans="1:2" x14ac:dyDescent="0.75">
      <c r="A1613" s="51">
        <v>45904</v>
      </c>
      <c r="B1613" s="2">
        <v>7867.348</v>
      </c>
    </row>
    <row r="1614" spans="1:2" x14ac:dyDescent="0.75">
      <c r="A1614" s="51">
        <v>45908</v>
      </c>
      <c r="B1614" s="2">
        <v>7766.8490000000002</v>
      </c>
    </row>
    <row r="1615" spans="1:2" x14ac:dyDescent="0.75">
      <c r="A1615" s="51">
        <v>45909</v>
      </c>
      <c r="B1615" s="2">
        <v>7628.6049999999996</v>
      </c>
    </row>
    <row r="1616" spans="1:2" x14ac:dyDescent="0.75">
      <c r="A1616" s="51">
        <v>45910</v>
      </c>
      <c r="B1616" s="2">
        <v>7699.0069999999996</v>
      </c>
    </row>
    <row r="1617" spans="1:2" x14ac:dyDescent="0.75">
      <c r="A1617" s="51">
        <v>45911</v>
      </c>
      <c r="B1617" s="2">
        <v>7747.9049999999997</v>
      </c>
    </row>
    <row r="1618" spans="1:2" x14ac:dyDescent="0.75">
      <c r="A1618" s="51">
        <v>45912</v>
      </c>
      <c r="B1618" s="2">
        <v>7854.06</v>
      </c>
    </row>
    <row r="1619" spans="1:2" x14ac:dyDescent="0.75">
      <c r="A1619" s="51">
        <v>45915</v>
      </c>
      <c r="B1619" s="2">
        <v>7937.1180000000004</v>
      </c>
    </row>
    <row r="1620" spans="1:2" x14ac:dyDescent="0.75">
      <c r="A1620" s="51">
        <v>45916</v>
      </c>
      <c r="B1620" s="2">
        <v>7957.6959999999999</v>
      </c>
    </row>
    <row r="1621" spans="1:2" x14ac:dyDescent="0.75">
      <c r="A1621" s="51">
        <v>45917</v>
      </c>
      <c r="B1621" s="2">
        <v>8025.1790000000001</v>
      </c>
    </row>
    <row r="1622" spans="1:2" x14ac:dyDescent="0.75">
      <c r="A1622" s="51">
        <v>45918</v>
      </c>
      <c r="B1622" s="2">
        <v>8008.433</v>
      </c>
    </row>
    <row r="1623" spans="1:2" x14ac:dyDescent="0.75">
      <c r="A1623" s="51">
        <v>45919</v>
      </c>
      <c r="B1623" s="2">
        <v>8051.1180000000004</v>
      </c>
    </row>
    <row r="1624" spans="1:2" x14ac:dyDescent="0.75">
      <c r="A1624" s="51">
        <v>45922</v>
      </c>
      <c r="B1624" s="2">
        <v>8040.0389999999998</v>
      </c>
    </row>
    <row r="1625" spans="1:2" x14ac:dyDescent="0.75">
      <c r="A1625" s="51">
        <v>45923</v>
      </c>
      <c r="B1625" s="2">
        <v>8125.201</v>
      </c>
    </row>
    <row r="1626" spans="1:2" x14ac:dyDescent="0.75">
      <c r="A1626" s="51">
        <v>45924</v>
      </c>
      <c r="B1626" s="2">
        <v>8126.558</v>
      </c>
    </row>
    <row r="1627" spans="1:2" x14ac:dyDescent="0.75">
      <c r="A1627" s="51">
        <v>45925</v>
      </c>
      <c r="B1627" s="2">
        <v>8040.665</v>
      </c>
    </row>
    <row r="1628" spans="1:2" x14ac:dyDescent="0.75">
      <c r="A1628" s="51">
        <v>45926</v>
      </c>
      <c r="B1628" s="2">
        <v>8099.3329999999996</v>
      </c>
    </row>
    <row r="1629" spans="1:2" x14ac:dyDescent="0.75">
      <c r="A1629" s="51">
        <v>45929</v>
      </c>
      <c r="B1629" s="2">
        <v>8123.2449999999999</v>
      </c>
    </row>
    <row r="1630" spans="1:2" x14ac:dyDescent="0.75">
      <c r="A1630" s="51">
        <v>45930</v>
      </c>
      <c r="B1630" s="2">
        <v>8061.0619999999999</v>
      </c>
    </row>
    <row r="1631" spans="1:2" x14ac:dyDescent="0.75">
      <c r="A1631" s="51">
        <v>45931</v>
      </c>
      <c r="B1631" s="2">
        <v>8043.8220000000001</v>
      </c>
    </row>
    <row r="1632" spans="1:2" x14ac:dyDescent="0.75">
      <c r="A1632" s="51">
        <v>45932</v>
      </c>
      <c r="B1632" s="2">
        <v>8071.0810000000001</v>
      </c>
    </row>
    <row r="1633" spans="1:2" x14ac:dyDescent="0.75">
      <c r="A1633" s="51">
        <v>45933</v>
      </c>
      <c r="B1633" s="2">
        <v>8118.3010000000004</v>
      </c>
    </row>
    <row r="1634" spans="1:2" x14ac:dyDescent="0.75">
      <c r="A1634" s="51">
        <v>45936</v>
      </c>
      <c r="B1634" s="2">
        <v>8139.8940000000002</v>
      </c>
    </row>
    <row r="1635" spans="1:2" x14ac:dyDescent="0.75">
      <c r="A1635" s="51">
        <v>45937</v>
      </c>
      <c r="B1635" s="2">
        <v>8169.2809999999999</v>
      </c>
    </row>
    <row r="1636" spans="1:2" x14ac:dyDescent="0.75">
      <c r="A1636" s="51">
        <v>45938</v>
      </c>
      <c r="B1636" s="2">
        <v>8166.0290000000005</v>
      </c>
    </row>
    <row r="1637" spans="1:2" x14ac:dyDescent="0.75">
      <c r="A1637" s="51">
        <v>45939</v>
      </c>
      <c r="B1637" s="2">
        <v>8250.9380000000001</v>
      </c>
    </row>
    <row r="1638" spans="1:2" x14ac:dyDescent="0.75">
      <c r="A1638" s="51">
        <v>45940</v>
      </c>
      <c r="B1638" s="2">
        <v>8257.8590000000004</v>
      </c>
    </row>
    <row r="1639" spans="1:2" x14ac:dyDescent="0.75">
      <c r="A1639" s="51">
        <v>45943</v>
      </c>
      <c r="B1639" s="2">
        <v>8227.2019999999993</v>
      </c>
    </row>
    <row r="1640" spans="1:2" x14ac:dyDescent="0.75">
      <c r="A1640" s="51">
        <v>45944</v>
      </c>
      <c r="B1640" s="2">
        <v>8066.5219999999999</v>
      </c>
    </row>
    <row r="1641" spans="1:2" x14ac:dyDescent="0.75">
      <c r="A1641" s="51">
        <v>45945</v>
      </c>
      <c r="B1641" s="2">
        <v>8051.1750000000002</v>
      </c>
    </row>
    <row r="1642" spans="1:2" x14ac:dyDescent="0.75">
      <c r="A1642" s="51">
        <v>45946</v>
      </c>
      <c r="B1642" s="2">
        <v>8124.7569999999996</v>
      </c>
    </row>
    <row r="1643" spans="1:2" x14ac:dyDescent="0.75">
      <c r="A1643" s="51">
        <v>45947</v>
      </c>
      <c r="B1643" s="2">
        <v>7915.6559999999999</v>
      </c>
    </row>
    <row r="1644" spans="1:2" x14ac:dyDescent="0.75">
      <c r="A1644" s="51">
        <v>45950</v>
      </c>
      <c r="B1644" s="2">
        <v>8088.9780000000001</v>
      </c>
    </row>
    <row r="1645" spans="1:2" x14ac:dyDescent="0.75">
      <c r="A1645" s="51">
        <v>45951</v>
      </c>
      <c r="B1645" s="2">
        <v>8238.0840000000007</v>
      </c>
    </row>
    <row r="1646" spans="1:2" x14ac:dyDescent="0.75">
      <c r="A1646" s="51">
        <v>45952</v>
      </c>
      <c r="B1646" s="2">
        <v>8152.5529999999999</v>
      </c>
    </row>
    <row r="1647" spans="1:2" x14ac:dyDescent="0.75">
      <c r="A1647" s="51">
        <v>45953</v>
      </c>
      <c r="B1647" s="2">
        <v>8274.3520000000008</v>
      </c>
    </row>
    <row r="1648" spans="1:2" x14ac:dyDescent="0.75">
      <c r="A1648" s="51">
        <v>45954</v>
      </c>
      <c r="B1648" s="2">
        <v>8271.7219999999998</v>
      </c>
    </row>
    <row r="1649" spans="1:2" x14ac:dyDescent="0.75">
      <c r="A1649" s="51">
        <v>45957</v>
      </c>
      <c r="B1649" s="2">
        <v>8117.1509999999998</v>
      </c>
    </row>
    <row r="1650" spans="1:2" x14ac:dyDescent="0.75">
      <c r="A1650" s="51">
        <v>45958</v>
      </c>
      <c r="B1650" s="2">
        <v>8092.6289999999999</v>
      </c>
    </row>
    <row r="1651" spans="1:2" x14ac:dyDescent="0.75">
      <c r="A1651" s="51">
        <v>45959</v>
      </c>
      <c r="B1651" s="2">
        <v>8166.2240000000002</v>
      </c>
    </row>
    <row r="1652" spans="1:2" x14ac:dyDescent="0.75">
      <c r="A1652" s="51">
        <v>45960</v>
      </c>
      <c r="B1652" s="2">
        <v>8184.0640000000003</v>
      </c>
    </row>
    <row r="1653" spans="1:2" x14ac:dyDescent="0.75">
      <c r="A1653" s="51">
        <v>45961</v>
      </c>
      <c r="B1653" s="2">
        <v>8163.875</v>
      </c>
    </row>
    <row r="1654" spans="1:2" x14ac:dyDescent="0.75">
      <c r="A1654" s="51">
        <v>45964</v>
      </c>
      <c r="B1654" s="2">
        <v>8275.0840000000007</v>
      </c>
    </row>
    <row r="1655" spans="1:2" x14ac:dyDescent="0.75">
      <c r="A1655" s="51">
        <v>45965</v>
      </c>
      <c r="B1655" s="2">
        <v>8241.9110000000001</v>
      </c>
    </row>
    <row r="1656" spans="1:2" x14ac:dyDescent="0.75">
      <c r="A1656" s="51">
        <v>45966</v>
      </c>
      <c r="B1656" s="2">
        <v>8318.5259999999998</v>
      </c>
    </row>
    <row r="1657" spans="1:2" x14ac:dyDescent="0.75">
      <c r="A1657" s="51">
        <v>45967</v>
      </c>
      <c r="B1657" s="2">
        <v>8337.0580000000009</v>
      </c>
    </row>
    <row r="1658" spans="1:2" x14ac:dyDescent="0.75">
      <c r="A1658" s="51">
        <v>45968</v>
      </c>
      <c r="B1658" s="2">
        <v>8394.59</v>
      </c>
    </row>
    <row r="1659" spans="1:2" x14ac:dyDescent="0.75">
      <c r="A1659" s="51">
        <v>45971</v>
      </c>
      <c r="B1659" s="2">
        <v>8391.24</v>
      </c>
    </row>
    <row r="1660" spans="1:2" x14ac:dyDescent="0.75">
      <c r="A1660" s="51">
        <v>45972</v>
      </c>
      <c r="B1660" s="2">
        <v>8366.5149999999994</v>
      </c>
    </row>
    <row r="1661" spans="1:2" x14ac:dyDescent="0.75">
      <c r="A1661" s="51">
        <v>45973</v>
      </c>
      <c r="B1661" s="2">
        <v>8388.5660000000007</v>
      </c>
    </row>
    <row r="1662" spans="1:2" x14ac:dyDescent="0.75">
      <c r="A1662" s="51">
        <v>45974</v>
      </c>
      <c r="B1662" s="2">
        <v>8371.9989999999998</v>
      </c>
    </row>
    <row r="1663" spans="1:2" x14ac:dyDescent="0.75">
      <c r="A1663" s="51">
        <v>45975</v>
      </c>
      <c r="B1663" s="2">
        <v>8370.4359999999997</v>
      </c>
    </row>
    <row r="1664" spans="1:2" x14ac:dyDescent="0.75">
      <c r="A1664" s="51">
        <v>45978</v>
      </c>
      <c r="B1664" s="2">
        <v>8416.8819999999996</v>
      </c>
    </row>
    <row r="1665" spans="1:2" x14ac:dyDescent="0.75">
      <c r="A1665" s="51">
        <v>45979</v>
      </c>
      <c r="B1665" s="2">
        <v>8361.9259999999995</v>
      </c>
    </row>
    <row r="1666" spans="1:2" x14ac:dyDescent="0.75">
      <c r="A1666" s="51">
        <v>45980</v>
      </c>
      <c r="B1666" s="2">
        <v>8406.5769999999993</v>
      </c>
    </row>
    <row r="1667" spans="1:2" x14ac:dyDescent="0.75">
      <c r="A1667" s="51">
        <v>45981</v>
      </c>
      <c r="B1667" s="2">
        <v>8419.9169999999995</v>
      </c>
    </row>
    <row r="1668" spans="1:2" x14ac:dyDescent="0.75">
      <c r="A1668" s="51">
        <v>45982</v>
      </c>
      <c r="B1668" s="2">
        <v>8414.3520000000008</v>
      </c>
    </row>
    <row r="1669" spans="1:2" x14ac:dyDescent="0.75">
      <c r="A1669" s="51">
        <v>45985</v>
      </c>
      <c r="B1669" s="2">
        <v>8570.2540000000008</v>
      </c>
    </row>
    <row r="1670" spans="1:2" x14ac:dyDescent="0.75">
      <c r="A1670" s="51">
        <v>45986</v>
      </c>
      <c r="B1670" s="2">
        <v>8521.8850000000002</v>
      </c>
    </row>
    <row r="1671" spans="1:2" x14ac:dyDescent="0.75">
      <c r="A1671" s="51">
        <v>45987</v>
      </c>
      <c r="B1671" s="2">
        <v>8602.1299999999992</v>
      </c>
    </row>
    <row r="1672" spans="1:2" x14ac:dyDescent="0.75">
      <c r="A1672" s="51">
        <v>45988</v>
      </c>
      <c r="B1672" s="2">
        <v>8545.8649999999998</v>
      </c>
    </row>
    <row r="1673" spans="1:2" x14ac:dyDescent="0.75">
      <c r="A1673" s="51">
        <v>45989</v>
      </c>
      <c r="B1673" s="2">
        <v>8508.7060000000001</v>
      </c>
    </row>
    <row r="1674" spans="1:2" x14ac:dyDescent="0.75">
      <c r="A1674" s="51">
        <v>45992</v>
      </c>
      <c r="B1674" s="2">
        <v>8548.7880000000005</v>
      </c>
    </row>
    <row r="1675" spans="1:2" x14ac:dyDescent="0.75">
      <c r="A1675" s="51">
        <v>45993</v>
      </c>
      <c r="B1675" s="2">
        <v>8617.0429999999997</v>
      </c>
    </row>
    <row r="1676" spans="1:2" x14ac:dyDescent="0.75">
      <c r="A1676" s="51">
        <v>45994</v>
      </c>
      <c r="B1676" s="2">
        <v>8611.7870000000003</v>
      </c>
    </row>
    <row r="1677" spans="1:2" x14ac:dyDescent="0.75">
      <c r="A1677" s="51">
        <v>45995</v>
      </c>
      <c r="B1677" s="2">
        <v>8640.1959999999999</v>
      </c>
    </row>
    <row r="1678" spans="1:2" x14ac:dyDescent="0.75">
      <c r="A1678" s="51">
        <v>45996</v>
      </c>
      <c r="B1678" s="2">
        <v>8632.7610000000004</v>
      </c>
    </row>
    <row r="1679" spans="1:2" x14ac:dyDescent="0.75">
      <c r="A1679" s="51">
        <v>45999</v>
      </c>
      <c r="B1679" s="2">
        <v>8710.6949999999997</v>
      </c>
    </row>
    <row r="1680" spans="1:2" x14ac:dyDescent="0.75">
      <c r="A1680" s="51">
        <v>46000</v>
      </c>
      <c r="B1680" s="2">
        <v>8657.1790000000001</v>
      </c>
    </row>
    <row r="1681" spans="1:2" x14ac:dyDescent="0.75">
      <c r="A1681" s="51">
        <v>46001</v>
      </c>
      <c r="B1681" s="2">
        <v>8700.9240000000009</v>
      </c>
    </row>
    <row r="1682" spans="1:2" x14ac:dyDescent="0.75">
      <c r="A1682" s="51">
        <v>46002</v>
      </c>
      <c r="B1682" s="2">
        <v>8620.4809999999998</v>
      </c>
    </row>
    <row r="1683" spans="1:2" x14ac:dyDescent="0.75">
      <c r="A1683" s="51">
        <v>46003</v>
      </c>
      <c r="B1683" s="2">
        <v>8660.4989999999998</v>
      </c>
    </row>
    <row r="1684" spans="1:2" x14ac:dyDescent="0.75">
      <c r="A1684" s="51">
        <v>46006</v>
      </c>
      <c r="B1684" s="2">
        <v>8649.6620000000003</v>
      </c>
    </row>
    <row r="1685" spans="1:2" x14ac:dyDescent="0.75">
      <c r="A1685" s="51">
        <v>46007</v>
      </c>
      <c r="B1685" s="2">
        <v>8686.4689999999991</v>
      </c>
    </row>
    <row r="1686" spans="1:2" x14ac:dyDescent="0.75">
      <c r="A1686" s="51">
        <v>46008</v>
      </c>
      <c r="B1686" s="2">
        <v>8677.3449999999993</v>
      </c>
    </row>
    <row r="1687" spans="1:2" x14ac:dyDescent="0.75">
      <c r="A1687" s="51">
        <v>46009</v>
      </c>
      <c r="B1687" s="2">
        <v>8618.1949999999997</v>
      </c>
    </row>
    <row r="1688" spans="1:2" x14ac:dyDescent="0.75">
      <c r="A1688" s="51">
        <v>46010</v>
      </c>
      <c r="B1688" s="2">
        <v>8609.5509999999995</v>
      </c>
    </row>
    <row r="1689" spans="1:2" x14ac:dyDescent="0.75">
      <c r="A1689" s="51">
        <v>46013</v>
      </c>
      <c r="B1689" s="2">
        <v>8645.8439999999991</v>
      </c>
    </row>
    <row r="1690" spans="1:2" x14ac:dyDescent="0.75">
      <c r="A1690" s="51">
        <v>46014</v>
      </c>
      <c r="B1690" s="2">
        <v>8584.7819999999992</v>
      </c>
    </row>
    <row r="1691" spans="1:2" x14ac:dyDescent="0.75">
      <c r="A1691" s="51">
        <v>46015</v>
      </c>
      <c r="B1691" s="2">
        <v>8537.9110000000001</v>
      </c>
    </row>
    <row r="1692" spans="1:2" x14ac:dyDescent="0.75">
      <c r="A1692" s="51">
        <v>46020</v>
      </c>
      <c r="B1692" s="2">
        <v>8644.2559999999994</v>
      </c>
    </row>
    <row r="1693" spans="1:2" x14ac:dyDescent="0.75">
      <c r="A1693" s="51">
        <v>46021</v>
      </c>
      <c r="B1693" s="2">
        <v>8646.9380000000001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B158-5D7F-4981-8FC6-323BE7FB3F5D}">
  <dimension ref="A1:I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85" sqref="H85"/>
    </sheetView>
  </sheetViews>
  <sheetFormatPr defaultRowHeight="14.75" x14ac:dyDescent="0.75"/>
  <cols>
    <col min="8" max="8" width="8.7265625" style="3"/>
  </cols>
  <sheetData>
    <row r="1" spans="1:9" x14ac:dyDescent="0.75">
      <c r="A1" t="s">
        <v>9</v>
      </c>
      <c r="B1" t="s">
        <v>2</v>
      </c>
      <c r="C1" t="s">
        <v>74</v>
      </c>
      <c r="D1" t="s">
        <v>75</v>
      </c>
      <c r="E1" t="s">
        <v>108</v>
      </c>
      <c r="F1" t="s">
        <v>109</v>
      </c>
      <c r="G1" t="s">
        <v>120</v>
      </c>
      <c r="H1" s="3" t="s">
        <v>121</v>
      </c>
    </row>
    <row r="2" spans="1:9" x14ac:dyDescent="0.75">
      <c r="A2" s="18">
        <v>43466</v>
      </c>
      <c r="B2" s="3">
        <f>PPh!J2</f>
        <v>12.173617954876761</v>
      </c>
      <c r="C2" s="3">
        <f>PPh!K2</f>
        <v>867.53397904123153</v>
      </c>
      <c r="D2" s="3">
        <f>RSI!B387</f>
        <v>218.13387553999999</v>
      </c>
      <c r="E2" s="2">
        <f>'7DRR'!B71</f>
        <v>6</v>
      </c>
      <c r="F2" s="2">
        <f>RSI!H387</f>
        <v>5.8158700000000003</v>
      </c>
      <c r="G2" s="3">
        <v>149.22931445</v>
      </c>
      <c r="H2" s="3">
        <v>2.8236213800000001</v>
      </c>
    </row>
    <row r="3" spans="1:9" x14ac:dyDescent="0.75">
      <c r="A3" s="18">
        <v>43497</v>
      </c>
      <c r="B3" s="3">
        <f>PPh!J3</f>
        <v>10.225093216622245</v>
      </c>
      <c r="C3" s="3">
        <f>PPh!K3</f>
        <v>728.67538944987393</v>
      </c>
      <c r="D3" s="3">
        <f>RSI!B388</f>
        <v>218.20217807</v>
      </c>
      <c r="E3" s="2">
        <f>'7DRR'!B72</f>
        <v>6</v>
      </c>
      <c r="F3" s="2">
        <f>RSI!H388</f>
        <v>5.7196199999999999</v>
      </c>
      <c r="G3" s="3">
        <v>149.10847398999999</v>
      </c>
      <c r="H3" s="3">
        <v>2.5695309900000001</v>
      </c>
    </row>
    <row r="4" spans="1:9" x14ac:dyDescent="0.75">
      <c r="A4" s="18">
        <v>43525</v>
      </c>
      <c r="B4" s="3">
        <f>PPh!J4</f>
        <v>19.201288828500996</v>
      </c>
      <c r="C4" s="3">
        <f>PPh!K4</f>
        <v>1368.3500305212306</v>
      </c>
      <c r="D4" s="3">
        <f>RSI!B389</f>
        <v>230.16173877</v>
      </c>
      <c r="E4" s="2">
        <f>'7DRR'!B73</f>
        <v>6</v>
      </c>
      <c r="F4" s="2">
        <f>RSI!H389</f>
        <v>5.9294700000000002</v>
      </c>
      <c r="G4" s="3">
        <v>149.27327419</v>
      </c>
      <c r="H4" s="3">
        <v>2.4815307</v>
      </c>
    </row>
    <row r="5" spans="1:9" x14ac:dyDescent="0.75">
      <c r="A5" s="18">
        <v>43556</v>
      </c>
      <c r="B5" s="3">
        <f>PPh!J5</f>
        <v>12.159999999999997</v>
      </c>
      <c r="C5" s="3">
        <f>PPh!K5</f>
        <v>866.56351663437488</v>
      </c>
      <c r="D5" s="3">
        <f>RSI!B390</f>
        <v>229.34501230000001</v>
      </c>
      <c r="E5" s="2">
        <f>'7DRR'!B74</f>
        <v>6</v>
      </c>
      <c r="F5" s="2">
        <f>RSI!H390</f>
        <v>5.8715299999999999</v>
      </c>
      <c r="G5" s="3">
        <v>149.93245870000001</v>
      </c>
      <c r="H5" s="3">
        <v>2.8332439599999999</v>
      </c>
    </row>
    <row r="6" spans="1:9" x14ac:dyDescent="0.75">
      <c r="A6" s="18">
        <v>43586</v>
      </c>
      <c r="B6" s="3">
        <f>PPh!J6</f>
        <v>19.080000000000005</v>
      </c>
      <c r="C6" s="3">
        <f>PPh!K6</f>
        <v>1359.7065705085429</v>
      </c>
      <c r="D6" s="3">
        <f>RSI!B391</f>
        <v>249.78630355999999</v>
      </c>
      <c r="E6" s="2">
        <f>'7DRR'!B75</f>
        <v>6</v>
      </c>
      <c r="F6" s="2">
        <f>RSI!H391</f>
        <v>5.9935200000000002</v>
      </c>
      <c r="G6" s="3">
        <v>150.95419713000001</v>
      </c>
      <c r="H6" s="3">
        <v>3.3160352099999999</v>
      </c>
    </row>
    <row r="7" spans="1:9" x14ac:dyDescent="0.75">
      <c r="A7" s="18">
        <v>43617</v>
      </c>
      <c r="B7" s="3">
        <f>PPh!J7</f>
        <v>13.179999999999993</v>
      </c>
      <c r="C7" s="3">
        <f>PPh!K7</f>
        <v>939.25223266785008</v>
      </c>
      <c r="D7" s="3">
        <f>RSI!B392</f>
        <v>233.58105121</v>
      </c>
      <c r="E7" s="2">
        <f>'7DRR'!B76</f>
        <v>6</v>
      </c>
      <c r="F7" s="2">
        <f>RSI!H392</f>
        <v>5.7731500000000002</v>
      </c>
      <c r="G7" s="3">
        <v>151.78917178</v>
      </c>
      <c r="H7" s="3">
        <v>3.28175522</v>
      </c>
    </row>
    <row r="8" spans="1:9" x14ac:dyDescent="0.75">
      <c r="A8" s="18">
        <v>43647</v>
      </c>
      <c r="B8" s="3">
        <f>PPh!J8</f>
        <v>14.040000000000006</v>
      </c>
      <c r="C8" s="3">
        <f>PPh!K8</f>
        <v>1000.5387971666638</v>
      </c>
      <c r="D8" s="3">
        <f>RSI!B393</f>
        <v>221.23411614</v>
      </c>
      <c r="E8" s="2">
        <f>'7DRR'!B77</f>
        <v>5.75</v>
      </c>
      <c r="F8" s="2">
        <f>RSI!H393</f>
        <v>5.5945200000000002</v>
      </c>
      <c r="G8" s="3">
        <v>152.26159250000001</v>
      </c>
      <c r="H8" s="3">
        <v>3.3174241800000002</v>
      </c>
    </row>
    <row r="9" spans="1:9" x14ac:dyDescent="0.75">
      <c r="A9" s="18">
        <v>43678</v>
      </c>
      <c r="B9" s="3">
        <f>PPh!J9</f>
        <v>10.97999999999999</v>
      </c>
      <c r="C9" s="3">
        <f>PPh!K9</f>
        <v>782.47264906623604</v>
      </c>
      <c r="D9" s="3">
        <f>RSI!B394</f>
        <v>216.55795850999999</v>
      </c>
      <c r="E9" s="2">
        <f>'7DRR'!B78</f>
        <v>5.5</v>
      </c>
      <c r="F9" s="2">
        <f>RSI!H394</f>
        <v>5.3111199999999998</v>
      </c>
      <c r="G9" s="3">
        <v>152.43736634999999</v>
      </c>
      <c r="H9" s="3">
        <v>3.4907073500000001</v>
      </c>
    </row>
    <row r="10" spans="1:9" x14ac:dyDescent="0.75">
      <c r="A10" s="18">
        <v>43709</v>
      </c>
      <c r="B10" s="3">
        <f>PPh!J10</f>
        <v>9.7700000000000102</v>
      </c>
      <c r="C10" s="3">
        <f>PPh!K10</f>
        <v>696.24387808534982</v>
      </c>
      <c r="D10" s="3">
        <f>RSI!B395</f>
        <v>212.36304655000001</v>
      </c>
      <c r="E10" s="2">
        <f>'7DRR'!B79</f>
        <v>5.25</v>
      </c>
      <c r="F10" s="2">
        <f>RSI!H395</f>
        <v>5.1307499999999999</v>
      </c>
      <c r="G10" s="3">
        <v>152.01987903</v>
      </c>
      <c r="H10" s="3">
        <v>3.3923573</v>
      </c>
    </row>
    <row r="11" spans="1:9" x14ac:dyDescent="0.75">
      <c r="A11" s="18">
        <v>43739</v>
      </c>
      <c r="B11" s="3">
        <f>PPh!J11</f>
        <v>10.340000000000003</v>
      </c>
      <c r="C11" s="3">
        <f>PPh!K11</f>
        <v>736.86404292758561</v>
      </c>
      <c r="D11" s="3">
        <f>RSI!B396</f>
        <v>215.70878275999999</v>
      </c>
      <c r="E11" s="2">
        <f>'7DRR'!B80</f>
        <v>5</v>
      </c>
      <c r="F11" s="2">
        <f>RSI!H396</f>
        <v>4.851</v>
      </c>
      <c r="G11" s="3">
        <v>152.05283256000001</v>
      </c>
      <c r="H11" s="3">
        <v>3.1296486899999998</v>
      </c>
    </row>
    <row r="12" spans="1:9" x14ac:dyDescent="0.75">
      <c r="A12" s="18">
        <v>43770</v>
      </c>
      <c r="B12" s="3">
        <f>PPh!J12</f>
        <v>12.359999999999985</v>
      </c>
      <c r="C12" s="3">
        <f>PPh!K12</f>
        <v>880.81620605270257</v>
      </c>
      <c r="D12" s="3">
        <f>RSI!B397</f>
        <v>216.58130285999999</v>
      </c>
      <c r="E12" s="2">
        <f>'7DRR'!B81</f>
        <v>5</v>
      </c>
      <c r="F12" s="2">
        <f>RSI!H397</f>
        <v>4.8499100000000004</v>
      </c>
      <c r="G12" s="3">
        <v>152.27258244000001</v>
      </c>
      <c r="H12" s="3">
        <v>3.0023760099999999</v>
      </c>
    </row>
    <row r="13" spans="1:9" x14ac:dyDescent="0.75">
      <c r="A13" s="18">
        <v>43800</v>
      </c>
      <c r="B13" s="3">
        <f>PPh!J13</f>
        <v>16.349999999999994</v>
      </c>
      <c r="C13" s="3">
        <f>PPh!K13</f>
        <v>1165.1573599483575</v>
      </c>
      <c r="D13" s="3">
        <f>RSI!B398</f>
        <v>235.09791129000001</v>
      </c>
      <c r="E13" s="2">
        <f>'7DRR'!B82</f>
        <v>5</v>
      </c>
      <c r="F13" s="2">
        <f>RSI!H398</f>
        <v>4.8826599999999996</v>
      </c>
      <c r="G13" s="3">
        <v>152.78893034000001</v>
      </c>
      <c r="H13" s="3">
        <v>2.7180646500000001</v>
      </c>
    </row>
    <row r="14" spans="1:9" x14ac:dyDescent="0.75">
      <c r="A14" s="18">
        <v>43831</v>
      </c>
      <c r="B14" s="3">
        <f>PPh!J14</f>
        <v>15.68</v>
      </c>
      <c r="C14" s="3">
        <f>PPh!K14</f>
        <v>1175.2775141500517</v>
      </c>
      <c r="D14" s="3">
        <f>RSI!B399</f>
        <v>217.53874021999999</v>
      </c>
      <c r="E14" s="2">
        <f>'7DRR'!B83</f>
        <v>5</v>
      </c>
      <c r="F14" s="2">
        <f>RSI!H399</f>
        <v>4.7906500000000003</v>
      </c>
      <c r="G14" s="3">
        <v>153.22839753</v>
      </c>
      <c r="H14" s="3">
        <v>2.67982407</v>
      </c>
      <c r="I14" s="37"/>
    </row>
    <row r="15" spans="1:9" x14ac:dyDescent="0.75">
      <c r="A15" s="18">
        <v>43862</v>
      </c>
      <c r="B15" s="3">
        <f>PPh!J15</f>
        <v>10.899999999999999</v>
      </c>
      <c r="C15" s="3">
        <f>PPh!K15</f>
        <v>816.99776174971703</v>
      </c>
      <c r="D15" s="3">
        <f>RSI!B400</f>
        <v>216.35772829999999</v>
      </c>
      <c r="E15" s="2">
        <f>'7DRR'!B84</f>
        <v>4.75</v>
      </c>
      <c r="F15" s="2">
        <f>RSI!H400</f>
        <v>4.5694900000000001</v>
      </c>
      <c r="G15" s="3">
        <v>153.65431860999999</v>
      </c>
      <c r="H15" s="3">
        <v>3.0486829499999999</v>
      </c>
      <c r="I15" s="37"/>
    </row>
    <row r="16" spans="1:9" x14ac:dyDescent="0.75">
      <c r="A16" s="18">
        <v>43891</v>
      </c>
      <c r="B16" s="3">
        <f>PPh!J16</f>
        <v>13.079999999999998</v>
      </c>
      <c r="C16" s="3">
        <f>PPh!K16</f>
        <v>980.39731409966043</v>
      </c>
      <c r="D16" s="3">
        <f>RSI!B401</f>
        <v>219.89806325000001</v>
      </c>
      <c r="E16" s="2">
        <f>'7DRR'!B85</f>
        <v>4.5</v>
      </c>
      <c r="F16" s="2">
        <f>RSI!H401</f>
        <v>4.3422000000000001</v>
      </c>
      <c r="G16" s="3">
        <v>153.80117672</v>
      </c>
      <c r="H16" s="3">
        <v>3.03329753</v>
      </c>
      <c r="I16" s="37"/>
    </row>
    <row r="17" spans="1:9" x14ac:dyDescent="0.75">
      <c r="A17" s="18">
        <v>43922</v>
      </c>
      <c r="B17" s="3">
        <f>PPh!J17</f>
        <v>16.000000000000007</v>
      </c>
      <c r="C17" s="3">
        <f>PPh!K17</f>
        <v>1199.2627695408696</v>
      </c>
      <c r="D17" s="3">
        <f>RSI!B402</f>
        <v>190.66424554</v>
      </c>
      <c r="E17" s="2">
        <f>'7DRR'!B86</f>
        <v>4.5</v>
      </c>
      <c r="F17" s="2">
        <f>RSI!H402</f>
        <v>4.3303399999999996</v>
      </c>
      <c r="G17" s="3">
        <v>153.91867948999999</v>
      </c>
      <c r="H17" s="3">
        <v>2.6586776599999999</v>
      </c>
      <c r="I17" s="37"/>
    </row>
    <row r="18" spans="1:9" x14ac:dyDescent="0.75">
      <c r="A18" s="18">
        <v>43952</v>
      </c>
      <c r="B18" s="3">
        <f>PPh!J18</f>
        <v>14.109999999999992</v>
      </c>
      <c r="C18" s="3">
        <f>PPh!K18</f>
        <v>1057.5998548888533</v>
      </c>
      <c r="D18" s="3">
        <f>RSI!B403</f>
        <v>198.29785293</v>
      </c>
      <c r="E18" s="2">
        <f>'7DRR'!B87</f>
        <v>4.5</v>
      </c>
      <c r="F18" s="2">
        <f>RSI!H403</f>
        <v>4.3147200000000003</v>
      </c>
      <c r="G18" s="3">
        <v>154.02149645</v>
      </c>
      <c r="H18" s="3">
        <v>2.0319403999999999</v>
      </c>
      <c r="I18" s="37"/>
    </row>
    <row r="19" spans="1:9" x14ac:dyDescent="0.75">
      <c r="A19" s="18">
        <v>43983</v>
      </c>
      <c r="B19" s="3">
        <f>PPh!J19</f>
        <v>14.780000000000001</v>
      </c>
      <c r="C19" s="3">
        <f>PPh!K19</f>
        <v>1107.818983363378</v>
      </c>
      <c r="D19" s="3">
        <f>RSI!B404</f>
        <v>193.56968316000001</v>
      </c>
      <c r="E19" s="2">
        <f>'7DRR'!B88</f>
        <v>4.25</v>
      </c>
      <c r="F19" s="2">
        <f>RSI!H404</f>
        <v>4.0905399999999998</v>
      </c>
      <c r="G19" s="3">
        <v>154.30054314</v>
      </c>
      <c r="H19" s="3">
        <v>1.6545128600000001</v>
      </c>
      <c r="I19" s="37"/>
    </row>
    <row r="20" spans="1:9" x14ac:dyDescent="0.75">
      <c r="A20" s="18">
        <v>44013</v>
      </c>
      <c r="B20" s="3">
        <f>PPh!J20</f>
        <v>11.090000000000003</v>
      </c>
      <c r="C20" s="3">
        <f>PPh!K20</f>
        <v>831.23900713801515</v>
      </c>
      <c r="D20" s="3">
        <f>RSI!B405</f>
        <v>194.06241405</v>
      </c>
      <c r="E20" s="2">
        <f>'7DRR'!B89</f>
        <v>4</v>
      </c>
      <c r="F20" s="2">
        <f>RSI!H405</f>
        <v>3.3576600000000001</v>
      </c>
      <c r="G20" s="3">
        <v>154.13899921999999</v>
      </c>
      <c r="H20" s="3">
        <v>1.23301398</v>
      </c>
      <c r="I20" s="37"/>
    </row>
    <row r="21" spans="1:9" x14ac:dyDescent="0.75">
      <c r="A21" s="18">
        <v>44044</v>
      </c>
      <c r="B21" s="3">
        <f>PPh!J21</f>
        <v>10.259999999999991</v>
      </c>
      <c r="C21" s="3">
        <f>PPh!K21</f>
        <v>769.02725096808172</v>
      </c>
      <c r="D21" s="3">
        <f>RSI!B406</f>
        <v>196.64991282</v>
      </c>
      <c r="E21" s="2">
        <f>'7DRR'!B90</f>
        <v>4</v>
      </c>
      <c r="F21" s="2">
        <f>RSI!H406</f>
        <v>3.2950300000000001</v>
      </c>
      <c r="G21" s="3">
        <v>154.06555388000001</v>
      </c>
      <c r="H21" s="3">
        <v>1.06810264</v>
      </c>
      <c r="I21" s="37"/>
    </row>
    <row r="22" spans="1:9" x14ac:dyDescent="0.75">
      <c r="A22" s="18">
        <v>44075</v>
      </c>
      <c r="B22" s="3">
        <f>PPh!J22</f>
        <v>10.160000000000011</v>
      </c>
      <c r="C22" s="3">
        <f>PPh!K22</f>
        <v>761.53185865845273</v>
      </c>
      <c r="D22" s="3">
        <f>RSI!B407</f>
        <v>193.82974533000001</v>
      </c>
      <c r="E22" s="2">
        <f>'7DRR'!B91</f>
        <v>4</v>
      </c>
      <c r="F22" s="2">
        <f>RSI!H407</f>
        <v>3.2877800000000001</v>
      </c>
      <c r="G22" s="3">
        <v>153.99212482999999</v>
      </c>
      <c r="H22" s="3">
        <v>1.2973604599999999</v>
      </c>
      <c r="I22" s="37"/>
    </row>
    <row r="23" spans="1:9" x14ac:dyDescent="0.75">
      <c r="A23" s="18">
        <v>44105</v>
      </c>
      <c r="B23" s="3">
        <f>PPh!J23</f>
        <v>9.6499999999999915</v>
      </c>
      <c r="C23" s="3">
        <f>PPh!K23</f>
        <v>723.30535787933604</v>
      </c>
      <c r="D23" s="3">
        <f>RSI!B408</f>
        <v>183.47160217000001</v>
      </c>
      <c r="E23" s="2">
        <f>'7DRR'!B92</f>
        <v>4</v>
      </c>
      <c r="F23" s="2">
        <f>RSI!H408</f>
        <v>3.32525</v>
      </c>
      <c r="G23" s="3">
        <v>154.09492551</v>
      </c>
      <c r="H23" s="3">
        <v>1.3430153899999999</v>
      </c>
      <c r="I23" s="37"/>
    </row>
    <row r="24" spans="1:9" x14ac:dyDescent="0.75">
      <c r="A24" s="18">
        <v>44136</v>
      </c>
      <c r="B24" s="3">
        <f>PPh!J24</f>
        <v>11.049999999999997</v>
      </c>
      <c r="C24" s="3">
        <f>PPh!K24</f>
        <v>828.24085021416261</v>
      </c>
      <c r="D24" s="3">
        <f>RSI!B409</f>
        <v>181.33573874999999</v>
      </c>
      <c r="E24" s="2">
        <f>'7DRR'!B93</f>
        <v>3.75</v>
      </c>
      <c r="F24" s="2">
        <f>RSI!H409</f>
        <v>3.03742</v>
      </c>
      <c r="G24" s="3">
        <v>154.52084658999999</v>
      </c>
      <c r="H24" s="3">
        <v>1.4764733800000001</v>
      </c>
      <c r="I24" s="37"/>
    </row>
    <row r="25" spans="1:9" x14ac:dyDescent="0.75">
      <c r="A25" s="18">
        <v>44166</v>
      </c>
      <c r="B25" s="3">
        <f>PPh!J25</f>
        <v>15.580000000000013</v>
      </c>
      <c r="C25" s="3">
        <f>PPh!K25</f>
        <v>1167.7821218404222</v>
      </c>
      <c r="D25" s="3">
        <f>RSI!B410</f>
        <v>190.05839058999999</v>
      </c>
      <c r="E25" s="2">
        <f>'7DRR'!B94</f>
        <v>3.75</v>
      </c>
      <c r="F25" s="2">
        <f>RSI!H410</f>
        <v>3.04542</v>
      </c>
      <c r="G25" s="3">
        <v>155.21112855000001</v>
      </c>
      <c r="H25" s="3">
        <v>1.5853231000000001</v>
      </c>
      <c r="I25" s="37"/>
    </row>
    <row r="26" spans="1:9" x14ac:dyDescent="0.75">
      <c r="A26" s="18">
        <v>44197</v>
      </c>
      <c r="B26" s="3">
        <f>PPh!J26</f>
        <v>14.719999999999999</v>
      </c>
      <c r="C26" s="3">
        <f>PPh!K26</f>
        <v>1141.4411413233163</v>
      </c>
      <c r="D26" s="3">
        <f>RSI!B411</f>
        <v>181.96736268999999</v>
      </c>
      <c r="E26" s="2">
        <f>'7DRR'!B95</f>
        <v>3.75</v>
      </c>
      <c r="F26" s="2">
        <f>RSI!H411</f>
        <v>3.0346899999999999</v>
      </c>
      <c r="G26" s="3">
        <v>155.60767799999999</v>
      </c>
      <c r="H26" s="3">
        <v>1.5527673099999999</v>
      </c>
      <c r="I26" s="37"/>
    </row>
    <row r="27" spans="1:9" x14ac:dyDescent="0.75">
      <c r="A27" s="18">
        <v>44228</v>
      </c>
      <c r="B27" s="3">
        <f>PPh!J27</f>
        <v>10.329999999999998</v>
      </c>
      <c r="C27" s="3">
        <f>PPh!K27</f>
        <v>801.02493137702822</v>
      </c>
      <c r="D27" s="3">
        <f>RSI!B412</f>
        <v>177.12517604000001</v>
      </c>
      <c r="E27" s="2">
        <f>'7DRR'!B96</f>
        <v>3.5</v>
      </c>
      <c r="F27" s="2">
        <f>RSI!H412</f>
        <v>2.7967499999999998</v>
      </c>
      <c r="G27" s="3">
        <v>155.76922192000001</v>
      </c>
      <c r="H27" s="3">
        <v>1.3764034300000001</v>
      </c>
      <c r="I27" s="37"/>
    </row>
    <row r="28" spans="1:9" x14ac:dyDescent="0.75">
      <c r="A28" s="18">
        <v>44256</v>
      </c>
      <c r="B28" s="3">
        <f>PPh!J28</f>
        <v>15.64</v>
      </c>
      <c r="C28" s="3">
        <f>PPh!K28</f>
        <v>1212.7812126560236</v>
      </c>
      <c r="D28" s="3">
        <f>RSI!B413</f>
        <v>187.87382901999999</v>
      </c>
      <c r="E28" s="2">
        <f>'7DRR'!B97</f>
        <v>3.5</v>
      </c>
      <c r="F28" s="2">
        <f>RSI!H413</f>
        <v>2.7936399999999999</v>
      </c>
      <c r="G28" s="3">
        <v>155.9014105</v>
      </c>
      <c r="H28" s="3">
        <v>1.36555118</v>
      </c>
      <c r="I28" s="37"/>
    </row>
    <row r="29" spans="1:9" x14ac:dyDescent="0.75">
      <c r="A29" s="18">
        <v>44287</v>
      </c>
      <c r="B29" s="3">
        <f>PPh!J29</f>
        <v>12.720000000000006</v>
      </c>
      <c r="C29" s="3">
        <f>PPh!K29</f>
        <v>986.35402973047485</v>
      </c>
      <c r="D29" s="3">
        <f>RSI!B414</f>
        <v>220.40696796</v>
      </c>
      <c r="E29" s="2">
        <f>'7DRR'!B98</f>
        <v>3.5</v>
      </c>
      <c r="F29" s="2">
        <f>RSI!H414</f>
        <v>2.7907000000000002</v>
      </c>
      <c r="G29" s="3">
        <v>156.10702814000001</v>
      </c>
      <c r="H29" s="3">
        <v>1.4217563799999999</v>
      </c>
      <c r="I29" s="37"/>
    </row>
    <row r="30" spans="1:9" x14ac:dyDescent="0.75">
      <c r="A30" s="18">
        <v>44317</v>
      </c>
      <c r="B30" s="3">
        <f>PPh!J30</f>
        <v>18.82</v>
      </c>
      <c r="C30" s="3">
        <f>PPh!K30</f>
        <v>1459.3697200886422</v>
      </c>
      <c r="D30" s="3">
        <f>RSI!B415</f>
        <v>227.51262899</v>
      </c>
      <c r="E30" s="2">
        <f>'7DRR'!B99</f>
        <v>3.5</v>
      </c>
      <c r="F30" s="2">
        <f>RSI!H415</f>
        <v>2.78864</v>
      </c>
      <c r="G30" s="3">
        <v>156.60639456000001</v>
      </c>
      <c r="H30" s="3">
        <v>1.6782710000000001</v>
      </c>
      <c r="I30" s="37"/>
    </row>
    <row r="31" spans="1:9" x14ac:dyDescent="0.75">
      <c r="A31" s="18">
        <v>44348</v>
      </c>
      <c r="B31" s="3">
        <f>PPh!J31</f>
        <v>12.040000000000006</v>
      </c>
      <c r="C31" s="3">
        <f>PPh!K31</f>
        <v>933.62441178890867</v>
      </c>
      <c r="D31" s="3">
        <f>RSI!B416</f>
        <v>198.49801814</v>
      </c>
      <c r="E31" s="2">
        <f>'7DRR'!B100</f>
        <v>3.5</v>
      </c>
      <c r="F31" s="2">
        <f>RSI!H416</f>
        <v>2.8001800000000001</v>
      </c>
      <c r="G31" s="3">
        <v>156.35670321000001</v>
      </c>
      <c r="H31" s="3">
        <v>1.3325682599999999</v>
      </c>
      <c r="I31" s="37"/>
    </row>
    <row r="32" spans="1:9" x14ac:dyDescent="0.75">
      <c r="A32" s="18">
        <v>44378</v>
      </c>
      <c r="B32" s="3">
        <f>PPh!J32</f>
        <v>11.669999999999987</v>
      </c>
      <c r="C32" s="3">
        <f>PPh!K32</f>
        <v>904.93329614423146</v>
      </c>
      <c r="D32" s="3">
        <f>RSI!B417</f>
        <v>188.48253786000001</v>
      </c>
      <c r="E32" s="2">
        <f>'7DRR'!B101</f>
        <v>3.5</v>
      </c>
      <c r="F32" s="2">
        <f>RSI!H417</f>
        <v>2.8348300000000002</v>
      </c>
      <c r="G32" s="3">
        <v>156.47420597999999</v>
      </c>
      <c r="H32" s="3">
        <v>1.5150006</v>
      </c>
      <c r="I32" s="37"/>
    </row>
    <row r="33" spans="1:9" x14ac:dyDescent="0.75">
      <c r="A33" s="18">
        <v>44409</v>
      </c>
      <c r="B33" s="3">
        <f>PPh!J33</f>
        <v>11.989999999999995</v>
      </c>
      <c r="C33" s="3">
        <f>PPh!K33</f>
        <v>929.7472339990868</v>
      </c>
      <c r="D33" s="3">
        <f>RSI!B418</f>
        <v>192.46020252</v>
      </c>
      <c r="E33" s="2">
        <f>'7DRR'!B102</f>
        <v>3.5</v>
      </c>
      <c r="F33" s="2">
        <f>RSI!H418</f>
        <v>2.7812399999999999</v>
      </c>
      <c r="G33" s="3">
        <v>156.51826341</v>
      </c>
      <c r="H33" s="3">
        <v>1.59199085</v>
      </c>
      <c r="I33" s="37"/>
    </row>
    <row r="34" spans="1:9" x14ac:dyDescent="0.75">
      <c r="A34" s="18">
        <v>44440</v>
      </c>
      <c r="B34" s="3">
        <f>PPh!J34</f>
        <v>10.510000000000005</v>
      </c>
      <c r="C34" s="3">
        <f>PPh!K34</f>
        <v>814.98277142038455</v>
      </c>
      <c r="D34" s="3">
        <f>RSI!B419</f>
        <v>189.49343049999999</v>
      </c>
      <c r="E34" s="2">
        <f>'7DRR'!B103</f>
        <v>3.5</v>
      </c>
      <c r="F34" s="2">
        <f>RSI!H419</f>
        <v>2.7936299999999998</v>
      </c>
      <c r="G34" s="3">
        <v>156.45952016000001</v>
      </c>
      <c r="H34" s="3">
        <v>1.6022867000000001</v>
      </c>
      <c r="I34" s="37"/>
    </row>
    <row r="35" spans="1:9" x14ac:dyDescent="0.75">
      <c r="A35" s="18">
        <v>44470</v>
      </c>
      <c r="B35" s="3">
        <f>PPh!J35</f>
        <v>10.659999999999997</v>
      </c>
      <c r="C35" s="3">
        <f>PPh!K35</f>
        <v>826.61430478984698</v>
      </c>
      <c r="D35" s="3">
        <f>RSI!B420</f>
        <v>195.46369713000001</v>
      </c>
      <c r="E35" s="2">
        <f>'7DRR'!B104</f>
        <v>3.5</v>
      </c>
      <c r="F35" s="2">
        <f>RSI!H420</f>
        <v>2.7974600000000001</v>
      </c>
      <c r="G35" s="3">
        <v>156.65045198999999</v>
      </c>
      <c r="H35" s="3">
        <v>1.65841054</v>
      </c>
      <c r="I35" s="37"/>
    </row>
    <row r="36" spans="1:9" x14ac:dyDescent="0.75">
      <c r="A36" s="18">
        <v>44501</v>
      </c>
      <c r="B36" s="3">
        <f>PPh!J36</f>
        <v>12.460000000000008</v>
      </c>
      <c r="C36" s="3">
        <f>PPh!K36</f>
        <v>966.1927052234056</v>
      </c>
      <c r="D36" s="3">
        <f>RSI!B421</f>
        <v>200.97600889</v>
      </c>
      <c r="E36" s="2">
        <f>'7DRR'!B105</f>
        <v>3.5</v>
      </c>
      <c r="F36" s="2">
        <f>RSI!H421</f>
        <v>2.7904200000000001</v>
      </c>
      <c r="G36" s="3">
        <v>157.22323118</v>
      </c>
      <c r="H36" s="3">
        <v>1.7488802699999999</v>
      </c>
      <c r="I36" s="37"/>
    </row>
    <row r="37" spans="1:9" x14ac:dyDescent="0.75">
      <c r="A37" s="18">
        <v>44531</v>
      </c>
      <c r="B37" s="3">
        <f>PPh!J37</f>
        <v>20.550000000000011</v>
      </c>
      <c r="C37" s="3">
        <f>PPh!K37</f>
        <v>1593.5200716164513</v>
      </c>
      <c r="D37" s="3">
        <f>RSI!B422</f>
        <v>216.27801706</v>
      </c>
      <c r="E37" s="2">
        <f>'7DRR'!B106</f>
        <v>3.5</v>
      </c>
      <c r="F37" s="2">
        <f>RSI!H422</f>
        <v>2.7749999999999999</v>
      </c>
      <c r="G37" s="3">
        <v>158.11913077</v>
      </c>
      <c r="H37" s="3">
        <v>1.87357843</v>
      </c>
      <c r="I37" s="37"/>
    </row>
    <row r="38" spans="1:9" x14ac:dyDescent="0.75">
      <c r="A38" s="18">
        <v>44562</v>
      </c>
      <c r="B38" s="3">
        <f>PPh!J38</f>
        <v>18.649999999999999</v>
      </c>
      <c r="C38" s="3">
        <f>PPh!K38</f>
        <v>1459.2026089176006</v>
      </c>
      <c r="D38" s="3">
        <f>RSI!B423</f>
        <v>209.55632772000001</v>
      </c>
      <c r="E38" s="2">
        <f>'7DRR'!B107</f>
        <v>3.5</v>
      </c>
      <c r="F38" s="2">
        <f>RSI!H423</f>
        <v>2.7803100000000001</v>
      </c>
      <c r="G38" s="3">
        <v>159.00036084000001</v>
      </c>
      <c r="H38" s="3">
        <v>2.1802798399999999</v>
      </c>
      <c r="I38" s="37"/>
    </row>
    <row r="39" spans="1:9" x14ac:dyDescent="0.75">
      <c r="A39" s="18">
        <v>44593</v>
      </c>
      <c r="B39" s="3">
        <f>PPh!J39</f>
        <v>10.89</v>
      </c>
      <c r="C39" s="3">
        <f>PPh!K39</f>
        <v>852.04913732507634</v>
      </c>
      <c r="D39" s="3">
        <f>RSI!B424</f>
        <v>200.03144829999999</v>
      </c>
      <c r="E39" s="2">
        <f>'7DRR'!B108</f>
        <v>3.5</v>
      </c>
      <c r="F39" s="2">
        <f>RSI!H424</f>
        <v>2.8206899999999999</v>
      </c>
      <c r="G39" s="3">
        <v>158.97097292999999</v>
      </c>
      <c r="H39" s="3">
        <v>2.0554452099999998</v>
      </c>
      <c r="I39" s="37"/>
    </row>
    <row r="40" spans="1:9" x14ac:dyDescent="0.75">
      <c r="A40" s="18">
        <v>44621</v>
      </c>
      <c r="B40" s="3">
        <f>PPh!J40</f>
        <v>18.430000000000007</v>
      </c>
      <c r="C40" s="3">
        <f>PPh!K40</f>
        <v>1441.9894950322464</v>
      </c>
      <c r="D40" s="3">
        <f>RSI!B425</f>
        <v>205.32203723999999</v>
      </c>
      <c r="E40" s="2">
        <f>'7DRR'!B109</f>
        <v>3.5</v>
      </c>
      <c r="F40" s="2">
        <f>RSI!H425</f>
        <v>2.7883300000000002</v>
      </c>
      <c r="G40" s="3">
        <v>160.01374691999999</v>
      </c>
      <c r="H40" s="3">
        <v>2.63778012</v>
      </c>
      <c r="I40" s="37"/>
    </row>
    <row r="41" spans="1:9" x14ac:dyDescent="0.75">
      <c r="A41" s="18">
        <v>44652</v>
      </c>
      <c r="B41" s="3">
        <f>PPh!J41</f>
        <v>18.43</v>
      </c>
      <c r="C41" s="3">
        <f>PPh!K41</f>
        <v>1441.9894950322457</v>
      </c>
      <c r="D41" s="3">
        <f>RSI!B426</f>
        <v>239.24427648</v>
      </c>
      <c r="E41" s="2">
        <f>'7DRR'!B110</f>
        <v>3.5</v>
      </c>
      <c r="F41" s="2">
        <f>RSI!H426</f>
        <v>3.48922</v>
      </c>
      <c r="G41" s="3">
        <v>161.52649941999999</v>
      </c>
      <c r="H41" s="3">
        <v>3.4716382399999999</v>
      </c>
      <c r="I41" s="37"/>
    </row>
    <row r="42" spans="1:9" x14ac:dyDescent="0.75">
      <c r="A42" s="18">
        <v>44682</v>
      </c>
      <c r="B42" s="3">
        <f>PPh!J42</f>
        <v>20.959999999999994</v>
      </c>
      <c r="C42" s="3">
        <f>PPh!K42</f>
        <v>1639.9403047138287</v>
      </c>
      <c r="D42" s="3">
        <f>RSI!B427</f>
        <v>234.12540566000001</v>
      </c>
      <c r="E42" s="2">
        <f>'7DRR'!B111</f>
        <v>3.5</v>
      </c>
      <c r="F42" s="2">
        <f>RSI!H427</f>
        <v>2.7878099999999999</v>
      </c>
      <c r="G42" s="3">
        <v>162.17272394</v>
      </c>
      <c r="H42" s="3">
        <v>3.55434362</v>
      </c>
      <c r="I42" s="37"/>
    </row>
    <row r="43" spans="1:9" x14ac:dyDescent="0.75">
      <c r="A43" s="18">
        <v>44713</v>
      </c>
      <c r="B43" s="3">
        <f>PPh!J43</f>
        <v>12.329999999999998</v>
      </c>
      <c r="C43" s="3">
        <f>PPh!K43</f>
        <v>964.71679184740026</v>
      </c>
      <c r="D43" s="3">
        <f>RSI!B428</f>
        <v>206.61160408999999</v>
      </c>
      <c r="E43" s="2">
        <f>'7DRR'!B112</f>
        <v>3.5</v>
      </c>
      <c r="F43" s="2">
        <f>RSI!H428</f>
        <v>2.7944599999999999</v>
      </c>
      <c r="G43" s="3">
        <v>163.15675468000001</v>
      </c>
      <c r="H43" s="3">
        <v>4.3490629700000003</v>
      </c>
      <c r="I43" s="37"/>
    </row>
    <row r="44" spans="1:9" x14ac:dyDescent="0.75">
      <c r="A44" s="18">
        <v>44743</v>
      </c>
      <c r="B44" s="3">
        <f>PPh!J44</f>
        <v>15.340000000000003</v>
      </c>
      <c r="C44" s="3">
        <f>PPh!K44</f>
        <v>1200.2234863697588</v>
      </c>
      <c r="D44" s="3">
        <f>RSI!B429</f>
        <v>200.15645125</v>
      </c>
      <c r="E44" s="2">
        <f>'7DRR'!B113</f>
        <v>3.5</v>
      </c>
      <c r="F44" s="2">
        <f>RSI!H429</f>
        <v>2.7984399999999998</v>
      </c>
      <c r="G44" s="3">
        <v>164.19957751000001</v>
      </c>
      <c r="H44" s="3">
        <v>4.9371533699999999</v>
      </c>
      <c r="I44" s="37"/>
    </row>
    <row r="45" spans="1:9" x14ac:dyDescent="0.75">
      <c r="A45" s="18">
        <v>44774</v>
      </c>
      <c r="B45" s="3">
        <f>PPh!J45</f>
        <v>15.080000000000013</v>
      </c>
      <c r="C45" s="3">
        <f>PPh!K45</f>
        <v>1179.8807154143399</v>
      </c>
      <c r="D45" s="3">
        <f>RSI!B430</f>
        <v>201.81715317999999</v>
      </c>
      <c r="E45" s="2">
        <f>'7DRR'!B114</f>
        <v>3.75</v>
      </c>
      <c r="F45" s="2">
        <f>RSI!H430</f>
        <v>3.1223299999999998</v>
      </c>
      <c r="G45" s="3">
        <v>163.86173873000001</v>
      </c>
      <c r="H45" s="3">
        <v>4.69176898</v>
      </c>
      <c r="I45" s="37"/>
    </row>
    <row r="46" spans="1:9" x14ac:dyDescent="0.75">
      <c r="A46" s="18">
        <v>44805</v>
      </c>
      <c r="B46" s="3">
        <f>PPh!J46</f>
        <v>12.419999999999987</v>
      </c>
      <c r="C46" s="3">
        <f>PPh!K46</f>
        <v>971.75852025504469</v>
      </c>
      <c r="D46" s="3">
        <f>RSI!B431</f>
        <v>198.13708998999999</v>
      </c>
      <c r="E46" s="2">
        <f>'7DRR'!B115</f>
        <v>4.25</v>
      </c>
      <c r="F46" s="2">
        <f>RSI!H431</f>
        <v>3.8415499999999998</v>
      </c>
      <c r="G46" s="3">
        <v>165.77105696999999</v>
      </c>
      <c r="H46" s="3">
        <v>5.95140315</v>
      </c>
      <c r="I46" s="37"/>
    </row>
    <row r="47" spans="1:9" x14ac:dyDescent="0.75">
      <c r="A47" s="18">
        <v>44835</v>
      </c>
      <c r="B47" s="3">
        <f>PPh!J47</f>
        <v>12.110000000000014</v>
      </c>
      <c r="C47" s="3">
        <f>PPh!K47</f>
        <v>947.50367796204648</v>
      </c>
      <c r="D47" s="3">
        <f>RSI!B432</f>
        <v>202.70726796</v>
      </c>
      <c r="E47" s="2">
        <f>'7DRR'!B116</f>
        <v>4.75</v>
      </c>
      <c r="F47" s="2">
        <f>RSI!H432</f>
        <v>4.2414100000000001</v>
      </c>
      <c r="G47" s="3">
        <v>165.59472955000001</v>
      </c>
      <c r="H47" s="3">
        <v>5.7097042800000004</v>
      </c>
      <c r="I47" s="37"/>
    </row>
    <row r="48" spans="1:9" x14ac:dyDescent="0.75">
      <c r="A48" s="18">
        <v>44866</v>
      </c>
      <c r="B48" s="3">
        <f>PPh!J48</f>
        <v>13.449999999999989</v>
      </c>
      <c r="C48" s="3">
        <f>PPh!K48</f>
        <v>1052.3471898092073</v>
      </c>
      <c r="D48" s="3">
        <f>RSI!B433</f>
        <v>203.53469221</v>
      </c>
      <c r="E48" s="2">
        <f>'7DRR'!B117</f>
        <v>5.25</v>
      </c>
      <c r="F48" s="2">
        <f>RSI!H433</f>
        <v>4.8053900000000001</v>
      </c>
      <c r="G48" s="3">
        <v>165.74158765999999</v>
      </c>
      <c r="H48" s="3">
        <v>5.4180011600000002</v>
      </c>
      <c r="I48" s="37"/>
    </row>
    <row r="49" spans="1:9" x14ac:dyDescent="0.75">
      <c r="A49" s="18">
        <v>44896</v>
      </c>
      <c r="B49" s="3">
        <f>PPh!J49</f>
        <v>15.876512340000005</v>
      </c>
      <c r="C49" s="3">
        <f>PPh!K49</f>
        <v>1242.200977321206</v>
      </c>
      <c r="D49" s="3">
        <f>RSI!B434</f>
        <v>217.75590052000001</v>
      </c>
      <c r="E49" s="2">
        <f>'7DRR'!B118</f>
        <v>5.5</v>
      </c>
      <c r="F49" s="2">
        <f>RSI!H434</f>
        <v>5.0139699999999996</v>
      </c>
      <c r="G49" s="3">
        <v>166.82853305</v>
      </c>
      <c r="H49" s="3">
        <v>5.5081268400000001</v>
      </c>
      <c r="I49" s="37"/>
    </row>
    <row r="50" spans="1:9" x14ac:dyDescent="0.75">
      <c r="A50" s="18">
        <v>44927</v>
      </c>
      <c r="B50" s="3">
        <f>PPh!J50</f>
        <v>22.68</v>
      </c>
      <c r="C50" s="3">
        <f>PPh!K50</f>
        <v>1607.1090267574732</v>
      </c>
      <c r="D50" s="3">
        <f>RSI!B435</f>
        <v>208.22173298000001</v>
      </c>
      <c r="E50" s="2">
        <f>'7DRR'!B119</f>
        <v>5.75</v>
      </c>
      <c r="F50" s="2">
        <f>RSI!H435</f>
        <v>5.4110800000000001</v>
      </c>
      <c r="G50" s="3">
        <v>167.40131224000001</v>
      </c>
      <c r="H50" s="3">
        <v>5.28360524</v>
      </c>
      <c r="I50" s="37"/>
    </row>
    <row r="51" spans="1:9" x14ac:dyDescent="0.75">
      <c r="A51" s="18">
        <v>44958</v>
      </c>
      <c r="B51" s="3">
        <f>PPh!J51</f>
        <v>13.21</v>
      </c>
      <c r="C51" s="3">
        <f>PPh!K51</f>
        <v>936.06306188122676</v>
      </c>
      <c r="D51" s="3">
        <f>RSI!B436</f>
        <v>201.17864774</v>
      </c>
      <c r="E51" s="2">
        <f>'7DRR'!B120</f>
        <v>5.75</v>
      </c>
      <c r="F51" s="2">
        <f>RSI!H436</f>
        <v>5.6190600000000002</v>
      </c>
      <c r="G51" s="3">
        <v>167.66555915000001</v>
      </c>
      <c r="H51" s="3">
        <v>5.4692916900000004</v>
      </c>
      <c r="I51" s="37"/>
    </row>
    <row r="52" spans="1:9" x14ac:dyDescent="0.75">
      <c r="A52" s="18">
        <v>44986</v>
      </c>
      <c r="B52" s="3">
        <f>PPh!J52</f>
        <v>21.9</v>
      </c>
      <c r="C52" s="3">
        <f>PPh!K52</f>
        <v>1551.8380813927981</v>
      </c>
      <c r="D52" s="3">
        <f>RSI!B437</f>
        <v>215.33381954000001</v>
      </c>
      <c r="E52" s="2">
        <f>'7DRR'!B121</f>
        <v>5.75</v>
      </c>
      <c r="F52" s="2">
        <f>RSI!H437</f>
        <v>5.5456200000000004</v>
      </c>
      <c r="G52" s="3">
        <v>167.95927537</v>
      </c>
      <c r="H52" s="3">
        <v>4.9655286500000004</v>
      </c>
      <c r="I52" s="37"/>
    </row>
    <row r="53" spans="1:9" x14ac:dyDescent="0.75">
      <c r="A53" s="18">
        <v>45017</v>
      </c>
      <c r="B53" s="3">
        <f>PPh!J53</f>
        <v>19.860000000000007</v>
      </c>
      <c r="C53" s="3">
        <f>PPh!K53</f>
        <v>1407.2833012082642</v>
      </c>
      <c r="D53" s="3">
        <f>RSI!B438</f>
        <v>242.91884001</v>
      </c>
      <c r="E53" s="2">
        <f>'7DRR'!B122</f>
        <v>5.75</v>
      </c>
      <c r="F53" s="2">
        <f>RSI!H438</f>
        <v>5.7218900000000001</v>
      </c>
      <c r="G53" s="3">
        <v>168.51740131</v>
      </c>
      <c r="H53" s="3">
        <v>4.32802167</v>
      </c>
      <c r="I53" s="37"/>
    </row>
    <row r="54" spans="1:9" x14ac:dyDescent="0.75">
      <c r="A54" s="18">
        <v>45047</v>
      </c>
      <c r="B54" s="3">
        <f>PPh!J54</f>
        <v>23.47999999999999</v>
      </c>
      <c r="C54" s="3">
        <f>PPh!K54</f>
        <v>1663.7971758494468</v>
      </c>
      <c r="D54" s="3">
        <f>RSI!B439</f>
        <v>223.51048170000001</v>
      </c>
      <c r="E54" s="2">
        <f>'7DRR'!B123</f>
        <v>5.75</v>
      </c>
      <c r="F54" s="2">
        <f>RSI!H439</f>
        <v>5.6033200000000001</v>
      </c>
      <c r="G54" s="3">
        <v>168.66425942000001</v>
      </c>
      <c r="H54" s="3">
        <v>4.0028528300000001</v>
      </c>
      <c r="I54" s="37"/>
    </row>
    <row r="55" spans="1:9" x14ac:dyDescent="0.75">
      <c r="A55" s="18">
        <v>45078</v>
      </c>
      <c r="B55" s="3">
        <f>PPh!J55</f>
        <v>15.790000000000006</v>
      </c>
      <c r="C55" s="3">
        <f>PPh!K55</f>
        <v>1118.8823427028444</v>
      </c>
      <c r="D55" s="3">
        <f>RSI!B440</f>
        <v>222.92251171000001</v>
      </c>
      <c r="E55" s="2">
        <f>'7DRR'!B124</f>
        <v>5.75</v>
      </c>
      <c r="F55" s="2">
        <f>RSI!H440</f>
        <v>5.93309</v>
      </c>
      <c r="G55" s="3">
        <v>168.89936263999999</v>
      </c>
      <c r="H55" s="3">
        <v>3.5196875400000001</v>
      </c>
      <c r="I55" s="37"/>
    </row>
    <row r="56" spans="1:9" x14ac:dyDescent="0.75">
      <c r="A56" s="18">
        <v>45108</v>
      </c>
      <c r="B56" s="3">
        <f>PPh!J56</f>
        <v>17.450000000000003</v>
      </c>
      <c r="C56" s="3">
        <f>PPh!K56</f>
        <v>1236.510252068691</v>
      </c>
      <c r="D56" s="3">
        <f>RSI!B441</f>
        <v>203.33806185</v>
      </c>
      <c r="E56" s="2">
        <f>'7DRR'!B125</f>
        <v>5.75</v>
      </c>
      <c r="F56" s="2">
        <f>RSI!H441</f>
        <v>5.7040899999999999</v>
      </c>
      <c r="G56" s="3">
        <v>169.25185467</v>
      </c>
      <c r="H56" s="3">
        <v>3.0769123999999999</v>
      </c>
      <c r="I56" s="37"/>
    </row>
    <row r="57" spans="1:9" x14ac:dyDescent="0.75">
      <c r="A57" s="18">
        <v>45139</v>
      </c>
      <c r="B57" s="3">
        <f>PPh!J57</f>
        <v>16.879999999999995</v>
      </c>
      <c r="C57" s="3">
        <f>PPh!K57</f>
        <v>1196.1199458406588</v>
      </c>
      <c r="D57" s="3">
        <f>RSI!B442</f>
        <v>204.07191019999999</v>
      </c>
      <c r="E57" s="2">
        <f>'7DRR'!B126</f>
        <v>5.75</v>
      </c>
      <c r="F57" s="2">
        <f>RSI!H442</f>
        <v>5.56759</v>
      </c>
      <c r="G57" s="3">
        <v>169.22238536</v>
      </c>
      <c r="H57" s="3">
        <v>3.2714449800000001</v>
      </c>
      <c r="I57" s="37"/>
    </row>
    <row r="58" spans="1:9" x14ac:dyDescent="0.75">
      <c r="A58" s="18">
        <v>45170</v>
      </c>
      <c r="B58" s="3">
        <f>PPh!J58</f>
        <v>14.27000000000001</v>
      </c>
      <c r="C58" s="3">
        <f>PPh!K58</f>
        <v>1011.1748594280934</v>
      </c>
      <c r="D58" s="3">
        <f>RSI!B443</f>
        <v>201.05967118999999</v>
      </c>
      <c r="E58" s="2">
        <f>'7DRR'!B127</f>
        <v>5.75</v>
      </c>
      <c r="F58" s="2">
        <f>RSI!H443</f>
        <v>5.6422499999999998</v>
      </c>
      <c r="G58" s="3">
        <v>169.54557088999999</v>
      </c>
      <c r="H58" s="3">
        <v>2.2769438700000002</v>
      </c>
      <c r="I58" s="37"/>
    </row>
    <row r="59" spans="1:9" x14ac:dyDescent="0.75">
      <c r="A59" s="18">
        <v>45200</v>
      </c>
      <c r="B59" s="3">
        <f>PPh!J59</f>
        <v>13.640000000000015</v>
      </c>
      <c r="C59" s="3">
        <f>PPh!K59</f>
        <v>966.53294201816402</v>
      </c>
      <c r="D59" s="3">
        <f>RSI!B444</f>
        <v>207.54133616999999</v>
      </c>
      <c r="E59" s="2">
        <f>'7DRR'!B128</f>
        <v>6</v>
      </c>
      <c r="F59" s="2">
        <f>RSI!H444</f>
        <v>5.84619</v>
      </c>
      <c r="G59" s="3">
        <v>169.83928710999999</v>
      </c>
      <c r="H59" s="3">
        <v>2.5632201999999999</v>
      </c>
      <c r="I59" s="37"/>
    </row>
    <row r="60" spans="1:9" x14ac:dyDescent="0.75">
      <c r="A60" s="18">
        <v>45231</v>
      </c>
      <c r="B60" s="3">
        <f>PPh!J60</f>
        <v>15.739999999999952</v>
      </c>
      <c r="C60" s="3">
        <f>PPh!K60</f>
        <v>1115.3393333845922</v>
      </c>
      <c r="D60" s="3">
        <f>RSI!B445</f>
        <v>207.87304601</v>
      </c>
      <c r="E60" s="2">
        <f>'7DRR'!B129</f>
        <v>6</v>
      </c>
      <c r="F60" s="2">
        <f>RSI!H445</f>
        <v>5.9208499999999997</v>
      </c>
      <c r="G60" s="3">
        <v>170.48549535000001</v>
      </c>
      <c r="H60" s="3">
        <v>2.86223136</v>
      </c>
      <c r="I60" s="37"/>
    </row>
    <row r="61" spans="1:9" x14ac:dyDescent="0.75">
      <c r="A61" s="18">
        <v>45261</v>
      </c>
      <c r="B61" s="3">
        <f>PPh!J61</f>
        <v>18.910158810000041</v>
      </c>
      <c r="C61" s="3">
        <f>PPh!K61</f>
        <v>1339.9773774677437</v>
      </c>
      <c r="D61" s="3">
        <f>RSI!B446</f>
        <v>218.14754354999999</v>
      </c>
      <c r="E61" s="2">
        <f>'7DRR'!B130</f>
        <v>6</v>
      </c>
      <c r="F61" s="2">
        <f>RSI!H446</f>
        <v>5.8469600000000002</v>
      </c>
      <c r="G61" s="3">
        <v>171.19047939999999</v>
      </c>
      <c r="H61" s="3">
        <v>2.6146284899999999</v>
      </c>
      <c r="I61" s="37"/>
    </row>
    <row r="62" spans="1:9" x14ac:dyDescent="0.75">
      <c r="A62" s="18">
        <v>45292</v>
      </c>
      <c r="B62" s="3">
        <f>PPh!J62</f>
        <v>28.8</v>
      </c>
      <c r="C62" s="3">
        <f>PPh!K62</f>
        <v>1802.8915878014463</v>
      </c>
      <c r="D62" s="3">
        <f>RSI!B447</f>
        <v>210.47660798000001</v>
      </c>
      <c r="E62" s="2">
        <f>'7DRR'!B131</f>
        <v>6</v>
      </c>
      <c r="F62" s="2">
        <f>RSI!H447</f>
        <v>5.8031899999999998</v>
      </c>
      <c r="G62" s="3">
        <v>171.26390846000001</v>
      </c>
      <c r="H62" s="3">
        <v>2.3073870599999999</v>
      </c>
      <c r="I62" s="37"/>
    </row>
    <row r="63" spans="1:9" x14ac:dyDescent="0.75">
      <c r="A63" s="18">
        <v>45323</v>
      </c>
      <c r="B63" s="3">
        <f>PPh!J63</f>
        <v>15.979999999999993</v>
      </c>
      <c r="C63" s="3">
        <f>PPh!K63</f>
        <v>1000.3544296203854</v>
      </c>
      <c r="D63" s="3">
        <f>RSI!B448</f>
        <v>214.13966565000001</v>
      </c>
      <c r="E63" s="2">
        <f>'7DRR'!B132</f>
        <v>6</v>
      </c>
      <c r="F63" s="2">
        <f>RSI!H448</f>
        <v>5.7022599999999999</v>
      </c>
      <c r="G63" s="3">
        <v>171.89888255</v>
      </c>
      <c r="H63" s="3">
        <v>2.5248616500000001</v>
      </c>
      <c r="I63" s="37"/>
    </row>
    <row r="64" spans="1:9" x14ac:dyDescent="0.75">
      <c r="A64" s="18">
        <v>45352</v>
      </c>
      <c r="B64" s="3">
        <f>PPh!J64</f>
        <v>26.670000000000009</v>
      </c>
      <c r="C64" s="3">
        <f>PPh!K64</f>
        <v>1669.5527307869647</v>
      </c>
      <c r="D64" s="3">
        <f>RSI!B449</f>
        <v>235.39061534999999</v>
      </c>
      <c r="E64" s="2">
        <f>'7DRR'!B133</f>
        <v>6</v>
      </c>
      <c r="F64" s="2">
        <f>RSI!H449</f>
        <v>5.9027700000000003</v>
      </c>
      <c r="G64" s="3">
        <v>172.79435882999999</v>
      </c>
      <c r="H64" s="3">
        <v>2.8787237000000001</v>
      </c>
      <c r="I64" s="37"/>
    </row>
    <row r="65" spans="1:9" x14ac:dyDescent="0.75">
      <c r="A65" s="18">
        <v>45383</v>
      </c>
      <c r="B65" s="3">
        <f>PPh!J65</f>
        <v>35.75</v>
      </c>
      <c r="C65" s="3">
        <f>PPh!K65</f>
        <v>2237.9643841632537</v>
      </c>
      <c r="D65" s="3">
        <f>RSI!B450</f>
        <v>236.29110886000001</v>
      </c>
      <c r="E65" s="2">
        <f>'7DRR'!B134</f>
        <v>6.25</v>
      </c>
      <c r="F65" s="2">
        <f>RSI!H450</f>
        <v>6.0691699999999997</v>
      </c>
      <c r="G65" s="3">
        <v>173.23395626999999</v>
      </c>
      <c r="H65" s="3">
        <v>2.7988533699999998</v>
      </c>
      <c r="I65" s="37"/>
    </row>
    <row r="66" spans="1:9" x14ac:dyDescent="0.75">
      <c r="A66" s="18">
        <v>45413</v>
      </c>
      <c r="B66" s="3">
        <f>PPh!J66</f>
        <v>21.654999999999987</v>
      </c>
      <c r="C66" s="3">
        <f>PPh!K66</f>
        <v>1355.6117129805657</v>
      </c>
      <c r="D66" s="3">
        <f>RSI!B451</f>
        <v>228.11272528000001</v>
      </c>
      <c r="E66" s="2">
        <f>'7DRR'!B135</f>
        <v>6.25</v>
      </c>
      <c r="F66" s="2">
        <f>RSI!H451</f>
        <v>6.1044600000000004</v>
      </c>
      <c r="G66" s="3">
        <v>173.18511211000001</v>
      </c>
      <c r="H66" s="3">
        <v>2.6803857</v>
      </c>
      <c r="I66" s="37"/>
    </row>
    <row r="67" spans="1:9" x14ac:dyDescent="0.75">
      <c r="A67" s="18">
        <v>45444</v>
      </c>
      <c r="B67" s="3">
        <f>PPh!J67</f>
        <v>19.885600000000011</v>
      </c>
      <c r="C67" s="3">
        <f>PPh!K67</f>
        <v>1244.8465610550159</v>
      </c>
      <c r="D67" s="3">
        <f>RSI!B452</f>
        <v>228.982235</v>
      </c>
      <c r="E67" s="2">
        <f>'7DRR'!B136</f>
        <v>6.25</v>
      </c>
      <c r="F67" s="2">
        <f>RSI!H452</f>
        <v>6.1510100000000003</v>
      </c>
      <c r="G67" s="3">
        <v>173.03857962999999</v>
      </c>
      <c r="H67" s="3">
        <v>2.4507001800000001</v>
      </c>
      <c r="I67" s="37"/>
    </row>
    <row r="68" spans="1:9" x14ac:dyDescent="0.75">
      <c r="A68" s="18">
        <v>45474</v>
      </c>
      <c r="B68" s="3">
        <f>PPh!J68</f>
        <v>19.959399999999988</v>
      </c>
      <c r="C68" s="3">
        <f>PPh!K68</f>
        <v>1249.4664707487557</v>
      </c>
      <c r="D68" s="3">
        <f>RSI!B453</f>
        <v>212.41125012000001</v>
      </c>
      <c r="E68" s="2">
        <f>'7DRR'!B137</f>
        <v>6.25</v>
      </c>
      <c r="F68" s="2">
        <f>RSI!H453</f>
        <v>6.2227800000000002</v>
      </c>
      <c r="G68" s="3">
        <v>172.72923327999999</v>
      </c>
      <c r="H68" s="3">
        <v>2.0545586400000002</v>
      </c>
      <c r="I68" s="37"/>
    </row>
    <row r="69" spans="1:9" x14ac:dyDescent="0.75">
      <c r="A69" s="18">
        <v>45505</v>
      </c>
      <c r="B69" s="3">
        <f>PPh!J69</f>
        <v>18.879999999999995</v>
      </c>
      <c r="C69" s="3">
        <f>PPh!K69</f>
        <v>1181.8955964476145</v>
      </c>
      <c r="D69" s="3">
        <f>RSI!B454</f>
        <v>215.93207527000001</v>
      </c>
      <c r="E69" s="2">
        <f>'7DRR'!B138</f>
        <v>6.25</v>
      </c>
      <c r="F69" s="2">
        <f>RSI!H454</f>
        <v>6.3510200000000001</v>
      </c>
      <c r="G69" s="3">
        <v>172.68038912</v>
      </c>
      <c r="H69" s="3">
        <v>2.04346709</v>
      </c>
      <c r="I69" s="37"/>
    </row>
    <row r="70" spans="1:9" x14ac:dyDescent="0.75">
      <c r="A70" s="18">
        <v>45536</v>
      </c>
      <c r="B70" s="3">
        <f>PPh!J70</f>
        <v>16.130000000000024</v>
      </c>
      <c r="C70" s="3">
        <f>PPh!K70</f>
        <v>1009.7444899735198</v>
      </c>
      <c r="D70" s="3">
        <f>RSI!B455</f>
        <v>210.61295147999999</v>
      </c>
      <c r="E70" s="2">
        <f>'7DRR'!B139</f>
        <v>6</v>
      </c>
      <c r="F70" s="2">
        <f>RSI!H455</f>
        <v>6.1334299999999997</v>
      </c>
      <c r="G70" s="3">
        <v>172.46873109000001</v>
      </c>
      <c r="H70" s="3">
        <v>1.72411475</v>
      </c>
      <c r="I70" s="37"/>
    </row>
    <row r="71" spans="1:9" x14ac:dyDescent="0.75">
      <c r="A71" s="18">
        <v>45566</v>
      </c>
      <c r="B71" s="3">
        <f>PPh!J71</f>
        <v>15.960000000000008</v>
      </c>
      <c r="C71" s="3">
        <f>PPh!K71</f>
        <v>999.10242157330197</v>
      </c>
      <c r="D71" s="3">
        <f>RSI!B456</f>
        <v>210.58940361000001</v>
      </c>
      <c r="E71" s="2">
        <f>'7DRR'!B140</f>
        <v>6</v>
      </c>
      <c r="F71" s="2">
        <f>RSI!H456</f>
        <v>5.9126700000000003</v>
      </c>
      <c r="G71" s="3">
        <v>172.59898218000001</v>
      </c>
      <c r="H71" s="3">
        <v>1.62488616</v>
      </c>
      <c r="I71" s="37"/>
    </row>
    <row r="72" spans="1:9" x14ac:dyDescent="0.75">
      <c r="A72" s="18">
        <v>45597</v>
      </c>
      <c r="B72" s="3">
        <f>PPh!J72</f>
        <v>17.129999999999967</v>
      </c>
      <c r="C72" s="3">
        <f>PPh!K72</f>
        <v>1072.3448923277331</v>
      </c>
      <c r="D72" s="3">
        <f>RSI!B457</f>
        <v>209.66871896000001</v>
      </c>
      <c r="E72" s="2">
        <f>'7DRR'!B141</f>
        <v>6</v>
      </c>
      <c r="F72" s="2">
        <f>RSI!H457</f>
        <v>6.1677099999999996</v>
      </c>
      <c r="G72" s="3">
        <v>173.11998656</v>
      </c>
      <c r="H72" s="3">
        <v>1.54528759</v>
      </c>
      <c r="I72" s="37"/>
    </row>
    <row r="73" spans="1:9" x14ac:dyDescent="0.75">
      <c r="A73" s="18">
        <v>45627</v>
      </c>
      <c r="B73" s="3">
        <f>PPh!J73</f>
        <v>20.380000000000024</v>
      </c>
      <c r="C73" s="3">
        <f>PPh!K73</f>
        <v>1275.7961999789416</v>
      </c>
      <c r="D73" s="3">
        <f>RSI!B458</f>
        <v>221.99624772999999</v>
      </c>
      <c r="E73" s="2">
        <f>'7DRR'!B142</f>
        <v>6</v>
      </c>
      <c r="F73" s="2">
        <f>RSI!H458</f>
        <v>6.1775900000000004</v>
      </c>
      <c r="G73" s="3">
        <v>173.88521175</v>
      </c>
      <c r="H73" s="3">
        <v>1.5741134400000001</v>
      </c>
      <c r="I73" s="37"/>
    </row>
    <row r="74" spans="1:9" x14ac:dyDescent="0.75">
      <c r="A74" s="18">
        <v>45658</v>
      </c>
      <c r="B74" s="3">
        <f>PPh!J74</f>
        <v>16.66</v>
      </c>
      <c r="C74" s="3">
        <f>PPh!K74</f>
        <v>1147.1604768099573</v>
      </c>
      <c r="D74" s="3">
        <f>RSI!B459</f>
        <v>211.54240698000001</v>
      </c>
      <c r="E74" s="2">
        <f>'7DRR'!B143</f>
        <v>5.75</v>
      </c>
      <c r="F74" s="2">
        <f>RSI!H459</f>
        <v>5.8061499999999997</v>
      </c>
      <c r="G74" s="3">
        <v>172.56641941000001</v>
      </c>
      <c r="H74" s="3">
        <v>0.76052856999999996</v>
      </c>
      <c r="I74" s="37"/>
    </row>
    <row r="75" spans="1:9" x14ac:dyDescent="0.75">
      <c r="A75" s="18">
        <v>45689</v>
      </c>
      <c r="B75" s="3">
        <f>PPh!J75</f>
        <v>14.34</v>
      </c>
      <c r="C75" s="3">
        <f>PPh!K75</f>
        <v>987.41183898288045</v>
      </c>
      <c r="D75" s="3">
        <f>RSI!B460</f>
        <v>218.48595193</v>
      </c>
      <c r="E75" s="2">
        <f>'7DRR'!B144</f>
        <v>5.75</v>
      </c>
      <c r="F75" s="2">
        <f>RSI!H460</f>
        <v>5.72607</v>
      </c>
      <c r="G75" s="3">
        <v>171.73606867999999</v>
      </c>
      <c r="H75" s="3">
        <v>-9.4714909999999999E-2</v>
      </c>
      <c r="I75" s="37"/>
    </row>
    <row r="76" spans="1:9" x14ac:dyDescent="0.75">
      <c r="A76" s="18">
        <v>45717</v>
      </c>
      <c r="B76" s="3">
        <f>PPh!J76</f>
        <v>19</v>
      </c>
      <c r="C76" s="3">
        <f>PPh!K76</f>
        <v>1308.2862580665781</v>
      </c>
      <c r="D76" s="3">
        <f>RSI!B461</f>
        <v>248.27762322000001</v>
      </c>
      <c r="E76" s="2">
        <f>'7DRR'!B145</f>
        <v>5.75</v>
      </c>
      <c r="F76" s="2">
        <f>RSI!H461</f>
        <v>6.6895899999999999</v>
      </c>
      <c r="G76" s="3">
        <v>174.56902998999999</v>
      </c>
      <c r="H76" s="3">
        <v>1.0270423099999999</v>
      </c>
      <c r="I76" s="37"/>
    </row>
    <row r="77" spans="1:9" x14ac:dyDescent="0.75">
      <c r="A77" s="18">
        <v>45748</v>
      </c>
      <c r="B77" s="3">
        <f>PPh!J77</f>
        <v>34.799999999999997</v>
      </c>
      <c r="C77" s="3">
        <f>PPh!K77</f>
        <v>2396.2295674061534</v>
      </c>
      <c r="D77" s="3">
        <f>RSI!B462</f>
        <v>235.5481254</v>
      </c>
      <c r="E77" s="2">
        <f>'7DRR'!B146</f>
        <v>5.75</v>
      </c>
      <c r="F77" s="2">
        <f>RSI!H462</f>
        <v>5.9035299999999999</v>
      </c>
      <c r="G77" s="3">
        <v>176.60420335000001</v>
      </c>
      <c r="H77" s="3">
        <v>1.9454887199999999</v>
      </c>
      <c r="I77" s="37"/>
    </row>
    <row r="78" spans="1:9" x14ac:dyDescent="0.75">
      <c r="A78" s="18">
        <v>45778</v>
      </c>
      <c r="B78" s="3">
        <f>PPh!J78</f>
        <v>19</v>
      </c>
      <c r="C78" s="3">
        <f>PPh!K78</f>
        <v>1308.2862580665781</v>
      </c>
      <c r="D78" s="3">
        <f>RSI!B463</f>
        <v>232.44977516</v>
      </c>
      <c r="E78" s="2">
        <f>'7DRR'!B147</f>
        <v>5.5</v>
      </c>
      <c r="F78" s="2">
        <f>RSI!H463</f>
        <v>5.8776000000000002</v>
      </c>
      <c r="G78" s="3">
        <v>175.95294788000001</v>
      </c>
      <c r="H78" s="3">
        <v>1.5981949799999999</v>
      </c>
      <c r="I78" s="37"/>
    </row>
    <row r="79" spans="1:9" x14ac:dyDescent="0.75">
      <c r="A79" s="18">
        <v>45809</v>
      </c>
      <c r="B79" s="3">
        <f>PPh!J79</f>
        <v>11.458763221533943</v>
      </c>
      <c r="C79" s="3">
        <f>PPh!K79</f>
        <v>789.01802406166155</v>
      </c>
      <c r="D79" s="3">
        <f>RSI!B464</f>
        <v>231.89537849000001</v>
      </c>
      <c r="E79" s="2">
        <f>'7DRR'!B148</f>
        <v>5.5</v>
      </c>
      <c r="F79" s="2">
        <f>RSI!H464</f>
        <v>5.2628599999999999</v>
      </c>
      <c r="G79" s="3">
        <v>176.27857560999999</v>
      </c>
      <c r="H79" s="3">
        <v>1.8724125</v>
      </c>
      <c r="I79" s="37"/>
    </row>
    <row r="80" spans="1:9" x14ac:dyDescent="0.75">
      <c r="A80" s="18">
        <v>45839</v>
      </c>
      <c r="B80" s="3">
        <f>PPh!J80</f>
        <v>16.590446882178838</v>
      </c>
      <c r="C80" s="3">
        <f>PPh!K80</f>
        <v>1142.3712458493726</v>
      </c>
      <c r="D80" s="3">
        <f>RSI!B465</f>
        <v>222.31806161</v>
      </c>
      <c r="E80" s="2">
        <f>'7DRR'!B149</f>
        <v>5.25</v>
      </c>
      <c r="F80" s="2">
        <f>RSI!H465</f>
        <v>4.7595599999999996</v>
      </c>
      <c r="G80" s="3">
        <v>176.81586138</v>
      </c>
      <c r="H80" s="3">
        <v>2.3659157300000002</v>
      </c>
      <c r="I80" s="37"/>
    </row>
    <row r="81" spans="1:9" x14ac:dyDescent="0.75">
      <c r="A81" s="18">
        <v>45870</v>
      </c>
      <c r="B81" s="3">
        <f>PPh!J81</f>
        <v>19.310789896287218</v>
      </c>
      <c r="C81" s="3">
        <f>PPh!K81</f>
        <v>1329.6863712486045</v>
      </c>
      <c r="D81" s="3">
        <f>RSI!B466</f>
        <v>223.57971807000001</v>
      </c>
      <c r="E81" s="2">
        <f>'7DRR'!B150</f>
        <v>5</v>
      </c>
      <c r="F81" s="2">
        <f>RSI!H466</f>
        <v>4.7005800000000004</v>
      </c>
      <c r="G81" s="3">
        <v>176.66932890000001</v>
      </c>
      <c r="H81" s="3">
        <v>2.3100132000000002</v>
      </c>
      <c r="I81" s="37"/>
    </row>
    <row r="82" spans="1:9" x14ac:dyDescent="0.75">
      <c r="A82" s="18">
        <v>45901</v>
      </c>
      <c r="B82" s="3">
        <f>PPh!J82</f>
        <v>14.665904314503877</v>
      </c>
      <c r="C82" s="3">
        <f>PPh!K82</f>
        <v>1009.8526882518294</v>
      </c>
      <c r="D82" s="3">
        <f>RSI!B467</f>
        <v>218.30523339999999</v>
      </c>
      <c r="E82" s="2">
        <f>'7DRR'!B151</f>
        <v>4.75</v>
      </c>
      <c r="F82" s="2">
        <f>RSI!H467</f>
        <v>3.9756</v>
      </c>
      <c r="G82" s="3">
        <v>177.04380080000001</v>
      </c>
      <c r="H82" s="3">
        <v>2.6526951799999998</v>
      </c>
      <c r="I82" s="37"/>
    </row>
    <row r="83" spans="1:9" x14ac:dyDescent="0.75">
      <c r="A83" s="18">
        <v>45931</v>
      </c>
      <c r="B83" s="3">
        <f>PPh!J83</f>
        <v>25.834095685496123</v>
      </c>
      <c r="C83" s="3">
        <f>PPh!K83</f>
        <v>1778.8627565742975</v>
      </c>
      <c r="D83" s="3">
        <f>RSI!B468</f>
        <v>219.69098456</v>
      </c>
      <c r="E83" s="2">
        <f>'7DRR'!B152</f>
        <v>4.75</v>
      </c>
      <c r="F83" s="2">
        <f>RSI!H468</f>
        <v>3.9992100000000002</v>
      </c>
      <c r="G83" s="3">
        <v>177.535313070348</v>
      </c>
      <c r="H83" s="3">
        <v>2.8599999999999959</v>
      </c>
      <c r="I83" s="37"/>
    </row>
    <row r="84" spans="1:9" x14ac:dyDescent="0.75">
      <c r="A84" s="18">
        <v>45962</v>
      </c>
      <c r="B84" s="3">
        <f>PPh!J84</f>
        <v>26.650000000000006</v>
      </c>
      <c r="C84" s="3">
        <f>PPh!K84</f>
        <v>1835.0436198670691</v>
      </c>
      <c r="D84" s="3">
        <f>RSI!B469</f>
        <v>222.93339660999999</v>
      </c>
      <c r="E84" s="2">
        <f>'7DRR'!B153</f>
        <v>4.75</v>
      </c>
      <c r="F84" s="2">
        <f>RSI!H469</f>
        <v>4.1500899999999996</v>
      </c>
      <c r="G84" s="3">
        <v>177.82885019443202</v>
      </c>
      <c r="H84" s="3">
        <v>2.7200000000000113</v>
      </c>
      <c r="I84" s="37"/>
    </row>
    <row r="85" spans="1:9" x14ac:dyDescent="0.75">
      <c r="A85" s="18">
        <v>45992</v>
      </c>
      <c r="B85" s="3">
        <f>PPh!J85</f>
        <v>29.889999999999986</v>
      </c>
      <c r="C85" s="3">
        <f>PPh!K85</f>
        <v>2058.1408554531577</v>
      </c>
      <c r="D85" s="3">
        <f>RSI!B470</f>
        <v>231.74723865000001</v>
      </c>
      <c r="E85" s="2">
        <f>'7DRR'!B154</f>
        <v>4.75</v>
      </c>
      <c r="F85" s="2">
        <f>RSI!H470</f>
        <v>4.0589199999999996</v>
      </c>
      <c r="G85" s="3">
        <v>178.96265993309999</v>
      </c>
      <c r="H85" s="3">
        <v>2.9199999999999893</v>
      </c>
      <c r="I85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522D-0406-44CF-9620-5702B273853C}"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8" sqref="H8"/>
    </sheetView>
  </sheetViews>
  <sheetFormatPr defaultRowHeight="14.75" x14ac:dyDescent="0.75"/>
  <cols>
    <col min="3" max="3" width="21.7265625" bestFit="1" customWidth="1"/>
    <col min="4" max="4" width="15" customWidth="1"/>
    <col min="5" max="5" width="17.81640625" bestFit="1" customWidth="1"/>
    <col min="6" max="6" width="20.7265625" bestFit="1" customWidth="1"/>
    <col min="7" max="7" width="18.453125" bestFit="1" customWidth="1"/>
    <col min="8" max="8" width="9.6796875" bestFit="1" customWidth="1"/>
  </cols>
  <sheetData>
    <row r="1" spans="1:12" x14ac:dyDescent="0.75">
      <c r="B1" t="s">
        <v>68</v>
      </c>
      <c r="C1" t="s">
        <v>67</v>
      </c>
      <c r="D1" t="s">
        <v>65</v>
      </c>
      <c r="E1" t="s">
        <v>70</v>
      </c>
      <c r="F1" t="s">
        <v>66</v>
      </c>
      <c r="G1" t="s">
        <v>69</v>
      </c>
      <c r="H1" t="s">
        <v>64</v>
      </c>
      <c r="I1" t="s">
        <v>72</v>
      </c>
      <c r="J1" t="s">
        <v>71</v>
      </c>
    </row>
    <row r="2" spans="1:12" x14ac:dyDescent="0.75">
      <c r="A2">
        <v>2019</v>
      </c>
      <c r="B2" s="3">
        <v>159.85999999999999</v>
      </c>
      <c r="C2" s="5">
        <f>National_income!B47/1000000</f>
        <v>42.681403259513701</v>
      </c>
      <c r="D2" s="5">
        <v>126.515119</v>
      </c>
      <c r="E2" s="5">
        <f>C2*D2</f>
        <v>5399.8428124643633</v>
      </c>
      <c r="F2" s="5">
        <f>National_income!D47/1000</f>
        <v>11500.10645207</v>
      </c>
      <c r="G2" s="5">
        <f>National_income!F47/1000</f>
        <v>11392.17465207</v>
      </c>
      <c r="H2" s="37">
        <f t="shared" ref="H2:H8" si="0">B2/G2</f>
        <v>1.4032439361430685E-2</v>
      </c>
      <c r="I2" s="37">
        <f>B2/E2</f>
        <v>2.9604565457164406E-2</v>
      </c>
      <c r="J2" s="5"/>
    </row>
    <row r="3" spans="1:12" x14ac:dyDescent="0.75">
      <c r="A3">
        <v>2020</v>
      </c>
      <c r="B3" s="3">
        <v>152.34</v>
      </c>
      <c r="C3" s="5">
        <f>National_income!B48/1000000</f>
        <v>42.358682978973597</v>
      </c>
      <c r="D3" s="5">
        <v>128.454184</v>
      </c>
      <c r="E3" s="5">
        <f t="shared" ref="E3:E7" si="1">C3*D3</f>
        <v>5441.1500573787425</v>
      </c>
      <c r="F3" s="5">
        <f>National_income!D48/1000</f>
        <v>11504.819244491</v>
      </c>
      <c r="G3" s="5">
        <f>National_income!F48/1000</f>
        <v>11418.480644491001</v>
      </c>
      <c r="H3" s="37">
        <f t="shared" si="0"/>
        <v>1.334152981846131E-2</v>
      </c>
      <c r="I3" s="37">
        <f t="shared" ref="I3:I8" si="2">B3/E3</f>
        <v>2.7997757531684275E-2</v>
      </c>
      <c r="J3" s="9">
        <f>C3/C2-1</f>
        <v>-7.5611450396295687E-3</v>
      </c>
      <c r="K3" s="9">
        <f>G3/G2-1</f>
        <v>2.3091282590388396E-3</v>
      </c>
    </row>
    <row r="4" spans="1:12" x14ac:dyDescent="0.75">
      <c r="A4">
        <v>2021</v>
      </c>
      <c r="B4" s="3">
        <v>162.11000000000001</v>
      </c>
      <c r="C4" s="5">
        <f>National_income!B49/1000000</f>
        <v>46.100281931555706</v>
      </c>
      <c r="D4" s="5">
        <v>131.050523</v>
      </c>
      <c r="E4" s="5">
        <f t="shared" si="1"/>
        <v>6041.4660575778253</v>
      </c>
      <c r="F4" s="5">
        <f>National_income!D49/1000</f>
        <v>12660.213630157801</v>
      </c>
      <c r="G4" s="5">
        <f>National_income!F49/1000</f>
        <v>12570.585830157799</v>
      </c>
      <c r="H4" s="37">
        <f t="shared" si="0"/>
        <v>1.2895978134215964E-2</v>
      </c>
      <c r="I4" s="37">
        <f t="shared" si="2"/>
        <v>2.6832890966368182E-2</v>
      </c>
      <c r="J4" s="9">
        <f t="shared" ref="J4:J7" si="3">C4/C3-1</f>
        <v>8.8331333493994579E-2</v>
      </c>
      <c r="K4" s="9">
        <f t="shared" ref="K4:K7" si="4">G4/G3-1</f>
        <v>0.1008982912470624</v>
      </c>
    </row>
    <row r="5" spans="1:12" x14ac:dyDescent="0.75">
      <c r="A5">
        <v>2022</v>
      </c>
      <c r="B5" s="3">
        <v>183.96651234000001</v>
      </c>
      <c r="C5" s="5">
        <f>National_income!B50/1000000</f>
        <v>52.2044369629389</v>
      </c>
      <c r="D5" s="5">
        <v>135.29671299999998</v>
      </c>
      <c r="E5" s="5">
        <f t="shared" si="1"/>
        <v>7063.0887251013346</v>
      </c>
      <c r="F5" s="5">
        <f>National_income!D50/1000</f>
        <v>14479.9619</v>
      </c>
      <c r="G5" s="5">
        <f>National_income!F50/1000</f>
        <v>14393.8024</v>
      </c>
      <c r="H5" s="37">
        <f t="shared" si="0"/>
        <v>1.2780953026005137E-2</v>
      </c>
      <c r="I5" s="37">
        <f t="shared" si="2"/>
        <v>2.6046184537680522E-2</v>
      </c>
      <c r="J5" s="9">
        <f t="shared" si="3"/>
        <v>0.13241036227166525</v>
      </c>
      <c r="K5" s="9">
        <f t="shared" si="4"/>
        <v>0.14503831360573227</v>
      </c>
    </row>
    <row r="6" spans="1:12" x14ac:dyDescent="0.75">
      <c r="A6">
        <v>2023</v>
      </c>
      <c r="B6" s="3">
        <v>213.81015881000002</v>
      </c>
      <c r="C6" s="5">
        <f>National_income!B51/1000000</f>
        <v>54.3625211988454</v>
      </c>
      <c r="D6" s="5">
        <v>139.85237699999999</v>
      </c>
      <c r="E6" s="5">
        <f t="shared" si="1"/>
        <v>7602.7278093714185</v>
      </c>
      <c r="F6" s="5">
        <f>National_income!D51/1000</f>
        <v>15232.602199999999</v>
      </c>
      <c r="G6" s="5">
        <f>National_income!F51/1000</f>
        <v>15150.627699999999</v>
      </c>
      <c r="H6" s="37">
        <f t="shared" si="0"/>
        <v>1.4112297064101182E-2</v>
      </c>
      <c r="I6" s="37">
        <f t="shared" si="2"/>
        <v>2.8122821725440346E-2</v>
      </c>
      <c r="J6" s="9">
        <f t="shared" si="3"/>
        <v>4.1339096089448635E-2</v>
      </c>
      <c r="K6" s="9">
        <f t="shared" si="4"/>
        <v>5.2579942322954043E-2</v>
      </c>
    </row>
    <row r="7" spans="1:12" x14ac:dyDescent="0.75">
      <c r="A7">
        <v>2024</v>
      </c>
      <c r="B7" s="3">
        <v>257.18</v>
      </c>
      <c r="C7" s="5">
        <f>National_income!B52/1000000</f>
        <v>57.171002431886599</v>
      </c>
      <c r="D7" s="5">
        <v>144.64200399999999</v>
      </c>
      <c r="E7" s="5">
        <f t="shared" si="1"/>
        <v>8269.3283624369506</v>
      </c>
      <c r="F7" s="5">
        <f>National_income!D52/1000</f>
        <v>16194.305277457501</v>
      </c>
      <c r="G7" s="5">
        <f>National_income!F52/1000</f>
        <v>16099.571477457499</v>
      </c>
      <c r="H7" s="37">
        <f t="shared" si="0"/>
        <v>1.5974338221368286E-2</v>
      </c>
      <c r="I7" s="37">
        <f t="shared" si="2"/>
        <v>3.1100470162513862E-2</v>
      </c>
      <c r="J7" s="9">
        <f t="shared" si="3"/>
        <v>5.1662085773550359E-2</v>
      </c>
      <c r="K7" s="9">
        <f t="shared" si="4"/>
        <v>6.2633957895850134E-2</v>
      </c>
    </row>
    <row r="8" spans="1:12" x14ac:dyDescent="0.75">
      <c r="A8">
        <v>2025</v>
      </c>
      <c r="B8" s="3">
        <v>248.2</v>
      </c>
      <c r="C8" s="38">
        <f>C7*(1+J8)</f>
        <v>60.05767885168197</v>
      </c>
      <c r="D8" s="5">
        <v>146.54226400000002</v>
      </c>
      <c r="E8" s="38">
        <f>C8*D8</f>
        <v>8800.988229510398</v>
      </c>
      <c r="F8" s="5">
        <f>National_income!D53/1000</f>
        <v>0</v>
      </c>
      <c r="G8" s="38">
        <f>G7*(1+K8)</f>
        <v>17090.349960638137</v>
      </c>
      <c r="H8" s="39">
        <f t="shared" si="0"/>
        <v>1.452281554044505E-2</v>
      </c>
      <c r="I8" s="39">
        <f t="shared" si="2"/>
        <v>2.8201378473358945E-2</v>
      </c>
      <c r="J8" s="40">
        <f>_xlfn.FORECAST.LINEAR(J7,J6:J7,J5:J6)</f>
        <v>5.0491967903388592E-2</v>
      </c>
      <c r="K8" s="40">
        <f>_xlfn.FORECAST.LINEAR(K7,K6:K7,K5:K6)</f>
        <v>6.1540674207876865E-2</v>
      </c>
      <c r="L8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DC84-F144-4467-A5C7-EE58E455506A}">
  <dimension ref="A1:N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70" sqref="M70"/>
    </sheetView>
  </sheetViews>
  <sheetFormatPr defaultRowHeight="14.75" x14ac:dyDescent="0.75"/>
  <cols>
    <col min="3" max="3" width="12.36328125" bestFit="1" customWidth="1"/>
    <col min="4" max="4" width="12.36328125" customWidth="1"/>
    <col min="11" max="11" width="11.08984375" bestFit="1" customWidth="1"/>
    <col min="13" max="13" width="12.26953125" bestFit="1" customWidth="1"/>
    <col min="14" max="14" width="13.7265625" bestFit="1" customWidth="1"/>
  </cols>
  <sheetData>
    <row r="1" spans="1:13" s="13" customFormat="1" ht="31.25" customHeight="1" x14ac:dyDescent="0.75">
      <c r="A1" s="13" t="s">
        <v>9</v>
      </c>
      <c r="B1" s="13" t="s">
        <v>10</v>
      </c>
      <c r="C1" s="13" t="s">
        <v>5</v>
      </c>
      <c r="D1" s="13" t="s">
        <v>7</v>
      </c>
      <c r="E1" s="13" t="s">
        <v>0</v>
      </c>
      <c r="F1" s="15" t="s">
        <v>8</v>
      </c>
      <c r="G1" s="13" t="s">
        <v>1</v>
      </c>
      <c r="H1" s="13" t="s">
        <v>3</v>
      </c>
      <c r="I1" s="13" t="s">
        <v>6</v>
      </c>
      <c r="J1" s="13" t="s">
        <v>4</v>
      </c>
      <c r="K1" s="13" t="s">
        <v>73</v>
      </c>
    </row>
    <row r="2" spans="1:13" x14ac:dyDescent="0.75">
      <c r="A2" s="6">
        <v>43466</v>
      </c>
      <c r="B2" s="21">
        <f>YEAR(A2)</f>
        <v>2019</v>
      </c>
      <c r="C2" s="8">
        <v>49.878399999999999</v>
      </c>
      <c r="D2" s="8"/>
      <c r="F2" s="16"/>
      <c r="H2" s="8">
        <f>AVERAGE(I$4:I$13)*C2</f>
        <v>12.173617954876761</v>
      </c>
      <c r="I2" s="3"/>
      <c r="J2" s="10">
        <f>H2</f>
        <v>12.173617954876761</v>
      </c>
      <c r="K2" s="5">
        <f>J2*(1/Annual!H$2)</f>
        <v>867.53397904123153</v>
      </c>
      <c r="M2" s="5"/>
    </row>
    <row r="3" spans="1:13" x14ac:dyDescent="0.75">
      <c r="A3" s="6">
        <v>43497</v>
      </c>
      <c r="B3" s="21">
        <f t="shared" ref="B3:B66" si="0">YEAR(A3)</f>
        <v>2019</v>
      </c>
      <c r="C3" s="8">
        <v>91.773200000000003</v>
      </c>
      <c r="D3" s="8"/>
      <c r="F3" s="16"/>
      <c r="H3" s="8">
        <f>AVERAGE(I$4:I$13)*C3</f>
        <v>22.398711171499006</v>
      </c>
      <c r="I3" s="3"/>
      <c r="J3" s="10">
        <f>H3-H2</f>
        <v>10.225093216622245</v>
      </c>
      <c r="K3" s="5">
        <f>J3*(1/Annual!H$2)</f>
        <v>728.67538944987393</v>
      </c>
      <c r="M3" s="5"/>
    </row>
    <row r="4" spans="1:13" x14ac:dyDescent="0.75">
      <c r="A4" s="1">
        <v>43525</v>
      </c>
      <c r="B4" s="21">
        <f t="shared" si="0"/>
        <v>2019</v>
      </c>
      <c r="C4" s="3">
        <v>142.815</v>
      </c>
      <c r="D4" s="3"/>
      <c r="E4" s="2">
        <v>35.1</v>
      </c>
      <c r="F4" s="17"/>
      <c r="G4" s="3">
        <v>6.5</v>
      </c>
      <c r="H4" s="3">
        <f t="shared" ref="H4:H35" si="1">E4+G4</f>
        <v>41.6</v>
      </c>
      <c r="I4" s="9">
        <f>H4/C4</f>
        <v>0.29128592934915803</v>
      </c>
      <c r="J4" s="7">
        <f t="shared" ref="J4:J13" si="2">H4-H3</f>
        <v>19.201288828500996</v>
      </c>
      <c r="K4" s="5">
        <f>J4*(1/Annual!H$2)</f>
        <v>1368.3500305212306</v>
      </c>
      <c r="M4" s="5"/>
    </row>
    <row r="5" spans="1:13" x14ac:dyDescent="0.75">
      <c r="A5" s="1">
        <v>43556</v>
      </c>
      <c r="B5" s="21">
        <f t="shared" si="0"/>
        <v>2019</v>
      </c>
      <c r="C5" s="3">
        <v>232.73099999999999</v>
      </c>
      <c r="D5" s="3"/>
      <c r="E5" s="2">
        <v>46.47</v>
      </c>
      <c r="F5" s="17"/>
      <c r="G5" s="3">
        <v>7.29</v>
      </c>
      <c r="H5" s="3">
        <f t="shared" si="1"/>
        <v>53.76</v>
      </c>
      <c r="I5" s="9">
        <f t="shared" ref="I5:I68" si="3">H5/C5</f>
        <v>0.2309963004498756</v>
      </c>
      <c r="J5" s="7">
        <f t="shared" si="2"/>
        <v>12.159999999999997</v>
      </c>
      <c r="K5" s="5">
        <f>J5*(1/Annual!H$2)</f>
        <v>866.56351663437488</v>
      </c>
      <c r="M5" s="5"/>
    </row>
    <row r="6" spans="1:13" x14ac:dyDescent="0.75">
      <c r="A6" s="1">
        <v>43586</v>
      </c>
      <c r="B6" s="21">
        <f t="shared" si="0"/>
        <v>2019</v>
      </c>
      <c r="C6" s="3">
        <v>295.49430000000001</v>
      </c>
      <c r="D6" s="3"/>
      <c r="E6" s="2">
        <v>65.22</v>
      </c>
      <c r="F6" s="17"/>
      <c r="G6" s="3">
        <v>7.62</v>
      </c>
      <c r="H6" s="3">
        <f t="shared" si="1"/>
        <v>72.84</v>
      </c>
      <c r="I6" s="9">
        <f t="shared" si="3"/>
        <v>0.24650221679402953</v>
      </c>
      <c r="J6" s="7">
        <f t="shared" si="2"/>
        <v>19.080000000000005</v>
      </c>
      <c r="K6" s="5">
        <f>J6*(1/Annual!H$2)</f>
        <v>1359.7065705085429</v>
      </c>
      <c r="M6" s="5"/>
    </row>
    <row r="7" spans="1:13" x14ac:dyDescent="0.75">
      <c r="A7" s="1">
        <v>43617</v>
      </c>
      <c r="B7" s="21">
        <f t="shared" si="0"/>
        <v>2019</v>
      </c>
      <c r="C7" s="3">
        <v>347.26830000000001</v>
      </c>
      <c r="D7" s="3"/>
      <c r="E7" s="2">
        <v>78.08</v>
      </c>
      <c r="F7" s="17"/>
      <c r="G7" s="3">
        <v>7.94</v>
      </c>
      <c r="H7" s="3">
        <f t="shared" si="1"/>
        <v>86.02</v>
      </c>
      <c r="I7" s="9">
        <f t="shared" si="3"/>
        <v>0.24770472859169695</v>
      </c>
      <c r="J7" s="7">
        <f t="shared" si="2"/>
        <v>13.179999999999993</v>
      </c>
      <c r="K7" s="5">
        <f>J7*(1/Annual!H$2)</f>
        <v>939.25223266785008</v>
      </c>
      <c r="M7" s="5"/>
    </row>
    <row r="8" spans="1:13" x14ac:dyDescent="0.75">
      <c r="A8" s="1">
        <v>43647</v>
      </c>
      <c r="B8" s="21">
        <f t="shared" si="0"/>
        <v>2019</v>
      </c>
      <c r="C8" s="3">
        <v>404.53699999999998</v>
      </c>
      <c r="D8" s="3"/>
      <c r="E8" s="2">
        <v>91.56</v>
      </c>
      <c r="F8" s="17"/>
      <c r="G8" s="3">
        <v>8.5</v>
      </c>
      <c r="H8" s="3">
        <f t="shared" si="1"/>
        <v>100.06</v>
      </c>
      <c r="I8" s="9">
        <f t="shared" si="3"/>
        <v>0.24734449506472833</v>
      </c>
      <c r="J8" s="7">
        <f t="shared" si="2"/>
        <v>14.040000000000006</v>
      </c>
      <c r="K8" s="5">
        <f>J8*(1/Annual!H$2)</f>
        <v>1000.5387971666638</v>
      </c>
      <c r="M8" s="5"/>
    </row>
    <row r="9" spans="1:13" x14ac:dyDescent="0.75">
      <c r="A9" s="1">
        <v>43678</v>
      </c>
      <c r="B9" s="21">
        <f t="shared" si="0"/>
        <v>2019</v>
      </c>
      <c r="C9" s="3">
        <v>455.23399999999998</v>
      </c>
      <c r="D9" s="3"/>
      <c r="E9" s="2">
        <v>102.13</v>
      </c>
      <c r="F9" s="17"/>
      <c r="G9" s="3">
        <v>8.91</v>
      </c>
      <c r="H9" s="3">
        <f t="shared" si="1"/>
        <v>111.03999999999999</v>
      </c>
      <c r="I9" s="9">
        <f t="shared" si="3"/>
        <v>0.24391851223766239</v>
      </c>
      <c r="J9" s="7">
        <f t="shared" si="2"/>
        <v>10.97999999999999</v>
      </c>
      <c r="K9" s="5">
        <f>J9*(1/Annual!H$2)</f>
        <v>782.47264906623604</v>
      </c>
      <c r="M9" s="5"/>
    </row>
    <row r="10" spans="1:13" x14ac:dyDescent="0.75">
      <c r="A10" s="1">
        <v>43709</v>
      </c>
      <c r="B10" s="21">
        <f t="shared" si="0"/>
        <v>2019</v>
      </c>
      <c r="C10" s="3">
        <v>503.25059999999996</v>
      </c>
      <c r="D10" s="3"/>
      <c r="E10" s="2">
        <v>111.45</v>
      </c>
      <c r="F10" s="17"/>
      <c r="G10" s="3">
        <v>9.36</v>
      </c>
      <c r="H10" s="3">
        <f t="shared" si="1"/>
        <v>120.81</v>
      </c>
      <c r="I10" s="9">
        <f t="shared" si="3"/>
        <v>0.24005932630780771</v>
      </c>
      <c r="J10" s="7">
        <f t="shared" si="2"/>
        <v>9.7700000000000102</v>
      </c>
      <c r="K10" s="5">
        <f>J10*(1/Annual!H$2)</f>
        <v>696.24387808534982</v>
      </c>
      <c r="M10" s="5"/>
    </row>
    <row r="11" spans="1:13" x14ac:dyDescent="0.75">
      <c r="A11" s="1">
        <v>43739</v>
      </c>
      <c r="B11" s="21">
        <f t="shared" si="0"/>
        <v>2019</v>
      </c>
      <c r="C11" s="3">
        <v>556.61810000000003</v>
      </c>
      <c r="D11" s="3"/>
      <c r="E11" s="2">
        <v>121.27</v>
      </c>
      <c r="F11" s="17"/>
      <c r="G11" s="3">
        <v>9.8800000000000008</v>
      </c>
      <c r="H11" s="3">
        <f t="shared" si="1"/>
        <v>131.15</v>
      </c>
      <c r="I11" s="9">
        <f t="shared" si="3"/>
        <v>0.23561935912612256</v>
      </c>
      <c r="J11" s="7">
        <f t="shared" si="2"/>
        <v>10.340000000000003</v>
      </c>
      <c r="K11" s="5">
        <f>J11*(1/Annual!H$2)</f>
        <v>736.86404292758561</v>
      </c>
      <c r="M11" s="5"/>
    </row>
    <row r="12" spans="1:13" x14ac:dyDescent="0.75">
      <c r="A12" s="1">
        <v>43770</v>
      </c>
      <c r="B12" s="21">
        <f t="shared" si="0"/>
        <v>2019</v>
      </c>
      <c r="C12" s="3">
        <v>615.7718000000001</v>
      </c>
      <c r="D12" s="3"/>
      <c r="E12" s="2">
        <v>133.16999999999999</v>
      </c>
      <c r="F12" s="17"/>
      <c r="G12" s="3">
        <v>10.34</v>
      </c>
      <c r="H12" s="3">
        <f t="shared" si="1"/>
        <v>143.51</v>
      </c>
      <c r="I12" s="9">
        <f t="shared" si="3"/>
        <v>0.23305711628885892</v>
      </c>
      <c r="J12" s="7">
        <f t="shared" si="2"/>
        <v>12.359999999999985</v>
      </c>
      <c r="K12" s="5">
        <f>J12*(1/Annual!H$2)</f>
        <v>880.81620605270257</v>
      </c>
      <c r="M12" s="5"/>
    </row>
    <row r="13" spans="1:13" x14ac:dyDescent="0.75">
      <c r="A13" s="1">
        <v>43800</v>
      </c>
      <c r="B13" s="21">
        <f t="shared" si="0"/>
        <v>2019</v>
      </c>
      <c r="C13" s="3">
        <v>713.11540346674008</v>
      </c>
      <c r="D13" s="3"/>
      <c r="E13" s="2">
        <v>148.63</v>
      </c>
      <c r="F13" s="17"/>
      <c r="G13" s="3">
        <v>11.23</v>
      </c>
      <c r="H13" s="3">
        <f t="shared" si="1"/>
        <v>159.85999999999999</v>
      </c>
      <c r="I13" s="9">
        <f t="shared" si="3"/>
        <v>0.22417129012058412</v>
      </c>
      <c r="J13" s="7">
        <f t="shared" si="2"/>
        <v>16.349999999999994</v>
      </c>
      <c r="K13" s="5">
        <f>J13*(1/Annual!H$2)</f>
        <v>1165.1573599483575</v>
      </c>
      <c r="M13" s="5"/>
    </row>
    <row r="14" spans="1:13" x14ac:dyDescent="0.75">
      <c r="A14" s="1">
        <v>43831</v>
      </c>
      <c r="B14" s="21">
        <f t="shared" si="0"/>
        <v>2020</v>
      </c>
      <c r="C14" s="3">
        <v>46.311699999999995</v>
      </c>
      <c r="D14" s="3"/>
      <c r="E14" s="2">
        <v>15.28</v>
      </c>
      <c r="F14" s="17"/>
      <c r="G14" s="3">
        <v>0.4</v>
      </c>
      <c r="H14" s="3">
        <f t="shared" si="1"/>
        <v>15.68</v>
      </c>
      <c r="I14" s="9">
        <f t="shared" si="3"/>
        <v>0.33857534920981092</v>
      </c>
      <c r="J14" s="7">
        <f>H14</f>
        <v>15.68</v>
      </c>
      <c r="K14" s="5">
        <f>J14*(1/Annual!H$3)</f>
        <v>1175.2775141500517</v>
      </c>
      <c r="M14" s="5"/>
    </row>
    <row r="15" spans="1:13" x14ac:dyDescent="0.75">
      <c r="A15" s="1">
        <v>43862</v>
      </c>
      <c r="B15" s="21">
        <f t="shared" si="0"/>
        <v>2020</v>
      </c>
      <c r="C15" s="3">
        <v>89.3904</v>
      </c>
      <c r="D15" s="3"/>
      <c r="E15" s="2">
        <v>25.56</v>
      </c>
      <c r="F15" s="17"/>
      <c r="G15" s="3">
        <v>1.02</v>
      </c>
      <c r="H15" s="3">
        <f t="shared" si="1"/>
        <v>26.58</v>
      </c>
      <c r="I15" s="9">
        <f t="shared" si="3"/>
        <v>0.29734736616012458</v>
      </c>
      <c r="J15" s="7">
        <f>H15-H14</f>
        <v>10.899999999999999</v>
      </c>
      <c r="K15" s="5">
        <f>J15*(1/Annual!H$3)</f>
        <v>816.99776174971703</v>
      </c>
      <c r="M15" s="5"/>
    </row>
    <row r="16" spans="1:13" x14ac:dyDescent="0.75">
      <c r="A16" s="1">
        <v>43891</v>
      </c>
      <c r="B16" s="21">
        <f t="shared" si="0"/>
        <v>2020</v>
      </c>
      <c r="C16" s="3">
        <v>137.47560000000001</v>
      </c>
      <c r="D16" s="3"/>
      <c r="E16" s="2">
        <v>36.58</v>
      </c>
      <c r="F16" s="17"/>
      <c r="G16" s="3">
        <v>3.08</v>
      </c>
      <c r="H16" s="3">
        <f t="shared" si="1"/>
        <v>39.659999999999997</v>
      </c>
      <c r="I16" s="9">
        <f t="shared" si="3"/>
        <v>0.28848755706467177</v>
      </c>
      <c r="J16" s="7">
        <f t="shared" ref="J16:J25" si="4">H16-H15</f>
        <v>13.079999999999998</v>
      </c>
      <c r="K16" s="5">
        <f>J16*(1/Annual!H$3)</f>
        <v>980.39731409966043</v>
      </c>
      <c r="M16" s="5"/>
    </row>
    <row r="17" spans="1:13" x14ac:dyDescent="0.75">
      <c r="A17" s="1">
        <v>43922</v>
      </c>
      <c r="B17" s="21">
        <f t="shared" si="0"/>
        <v>2020</v>
      </c>
      <c r="C17" s="3">
        <v>226.4913</v>
      </c>
      <c r="D17" s="3"/>
      <c r="E17" s="2">
        <v>48.38</v>
      </c>
      <c r="F17" s="17"/>
      <c r="G17" s="3">
        <v>7.28</v>
      </c>
      <c r="H17" s="3">
        <f t="shared" si="1"/>
        <v>55.660000000000004</v>
      </c>
      <c r="I17" s="9">
        <f t="shared" si="3"/>
        <v>0.24574895371257088</v>
      </c>
      <c r="J17" s="7">
        <f t="shared" si="4"/>
        <v>16.000000000000007</v>
      </c>
      <c r="K17" s="5">
        <f>J17*(1/Annual!H$3)</f>
        <v>1199.2627695408696</v>
      </c>
      <c r="M17" s="5"/>
    </row>
    <row r="18" spans="1:13" x14ac:dyDescent="0.75">
      <c r="A18" s="1">
        <v>43952</v>
      </c>
      <c r="B18" s="21">
        <f t="shared" si="0"/>
        <v>2020</v>
      </c>
      <c r="C18" s="3">
        <v>264.83240000000001</v>
      </c>
      <c r="D18" s="3"/>
      <c r="E18" s="2">
        <v>61.96</v>
      </c>
      <c r="F18" s="17"/>
      <c r="G18" s="3">
        <v>7.81</v>
      </c>
      <c r="H18" s="3">
        <f t="shared" si="1"/>
        <v>69.77</v>
      </c>
      <c r="I18" s="9">
        <f t="shared" si="3"/>
        <v>0.26344963833730312</v>
      </c>
      <c r="J18" s="7">
        <f t="shared" si="4"/>
        <v>14.109999999999992</v>
      </c>
      <c r="K18" s="5">
        <f>J18*(1/Annual!H$3)</f>
        <v>1057.5998548888533</v>
      </c>
      <c r="M18" s="5"/>
    </row>
    <row r="19" spans="1:13" x14ac:dyDescent="0.75">
      <c r="A19" s="1">
        <v>43983</v>
      </c>
      <c r="B19" s="21">
        <f t="shared" si="0"/>
        <v>2020</v>
      </c>
      <c r="C19" s="3">
        <v>312.25290000000001</v>
      </c>
      <c r="D19" s="3"/>
      <c r="E19" s="2">
        <v>76.319999999999993</v>
      </c>
      <c r="F19" s="17"/>
      <c r="G19" s="3">
        <v>8.23</v>
      </c>
      <c r="H19" s="3">
        <f t="shared" si="1"/>
        <v>84.55</v>
      </c>
      <c r="I19" s="9">
        <f t="shared" si="3"/>
        <v>0.27077410650149286</v>
      </c>
      <c r="J19" s="7">
        <f t="shared" si="4"/>
        <v>14.780000000000001</v>
      </c>
      <c r="K19" s="5">
        <f>J19*(1/Annual!H$3)</f>
        <v>1107.818983363378</v>
      </c>
      <c r="M19" s="5"/>
    </row>
    <row r="20" spans="1:13" x14ac:dyDescent="0.75">
      <c r="A20" s="1">
        <v>44013</v>
      </c>
      <c r="B20" s="21">
        <f t="shared" si="0"/>
        <v>2020</v>
      </c>
      <c r="C20" s="3">
        <v>349.89570000000003</v>
      </c>
      <c r="D20" s="3"/>
      <c r="E20" s="2">
        <v>86.94</v>
      </c>
      <c r="F20" s="17"/>
      <c r="G20" s="3">
        <v>8.6999999999999993</v>
      </c>
      <c r="H20" s="3">
        <f t="shared" si="1"/>
        <v>95.64</v>
      </c>
      <c r="I20" s="9">
        <f t="shared" si="3"/>
        <v>0.2733385977592751</v>
      </c>
      <c r="J20" s="7">
        <f t="shared" si="4"/>
        <v>11.090000000000003</v>
      </c>
      <c r="K20" s="5">
        <f>J20*(1/Annual!H$3)</f>
        <v>831.23900713801515</v>
      </c>
      <c r="M20" s="5"/>
    </row>
    <row r="21" spans="1:13" x14ac:dyDescent="0.75">
      <c r="A21" s="1">
        <v>44044</v>
      </c>
      <c r="B21" s="21">
        <f t="shared" si="0"/>
        <v>2020</v>
      </c>
      <c r="C21" s="3">
        <v>386.23690000000005</v>
      </c>
      <c r="D21" s="3"/>
      <c r="E21" s="2">
        <v>96.77</v>
      </c>
      <c r="F21" s="17"/>
      <c r="G21" s="3">
        <v>9.1300000000000008</v>
      </c>
      <c r="H21" s="3">
        <f t="shared" si="1"/>
        <v>105.89999999999999</v>
      </c>
      <c r="I21" s="9">
        <f t="shared" si="3"/>
        <v>0.27418405646897015</v>
      </c>
      <c r="J21" s="7">
        <f t="shared" si="4"/>
        <v>10.259999999999991</v>
      </c>
      <c r="K21" s="5">
        <f>J21*(1/Annual!H$3)</f>
        <v>769.02725096808172</v>
      </c>
      <c r="M21" s="5"/>
    </row>
    <row r="22" spans="1:13" x14ac:dyDescent="0.75">
      <c r="A22" s="1">
        <v>44075</v>
      </c>
      <c r="B22" s="21">
        <f t="shared" si="0"/>
        <v>2020</v>
      </c>
      <c r="C22" s="3">
        <v>418.16300000000001</v>
      </c>
      <c r="D22" s="3"/>
      <c r="E22" s="2">
        <v>106.51</v>
      </c>
      <c r="F22" s="17"/>
      <c r="G22" s="3">
        <v>9.5500000000000007</v>
      </c>
      <c r="H22" s="3">
        <f t="shared" si="1"/>
        <v>116.06</v>
      </c>
      <c r="I22" s="9">
        <f t="shared" si="3"/>
        <v>0.27754727223594627</v>
      </c>
      <c r="J22" s="7">
        <f t="shared" si="4"/>
        <v>10.160000000000011</v>
      </c>
      <c r="K22" s="5">
        <f>J22*(1/Annual!H$3)</f>
        <v>761.53185865845273</v>
      </c>
      <c r="M22" s="5"/>
    </row>
    <row r="23" spans="1:13" x14ac:dyDescent="0.75">
      <c r="A23" s="1">
        <v>44105</v>
      </c>
      <c r="B23" s="21">
        <f t="shared" si="0"/>
        <v>2020</v>
      </c>
      <c r="C23" s="3">
        <v>450.66759999999999</v>
      </c>
      <c r="D23" s="3"/>
      <c r="E23" s="2">
        <v>115.71</v>
      </c>
      <c r="F23" s="17"/>
      <c r="G23" s="3">
        <v>10</v>
      </c>
      <c r="H23" s="3">
        <f t="shared" si="1"/>
        <v>125.71</v>
      </c>
      <c r="I23" s="9">
        <f t="shared" si="3"/>
        <v>0.2789417300023343</v>
      </c>
      <c r="J23" s="7">
        <f t="shared" si="4"/>
        <v>9.6499999999999915</v>
      </c>
      <c r="K23" s="5">
        <f>J23*(1/Annual!H$3)</f>
        <v>723.30535787933604</v>
      </c>
      <c r="M23" s="5"/>
    </row>
    <row r="24" spans="1:13" x14ac:dyDescent="0.75">
      <c r="A24" s="1">
        <v>44136</v>
      </c>
      <c r="B24" s="21">
        <f t="shared" si="0"/>
        <v>2020</v>
      </c>
      <c r="C24" s="3">
        <v>492.56799999999998</v>
      </c>
      <c r="D24" s="3"/>
      <c r="E24" s="2">
        <v>126.25</v>
      </c>
      <c r="F24" s="17"/>
      <c r="G24" s="3">
        <v>10.51</v>
      </c>
      <c r="H24" s="3">
        <f t="shared" si="1"/>
        <v>136.76</v>
      </c>
      <c r="I24" s="9">
        <f t="shared" si="3"/>
        <v>0.27764694417826574</v>
      </c>
      <c r="J24" s="7">
        <f t="shared" si="4"/>
        <v>11.049999999999997</v>
      </c>
      <c r="K24" s="5">
        <f>J24*(1/Annual!H$3)</f>
        <v>828.24085021416261</v>
      </c>
      <c r="M24" s="5"/>
    </row>
    <row r="25" spans="1:13" x14ac:dyDescent="0.75">
      <c r="A25" s="1">
        <v>44166</v>
      </c>
      <c r="B25" s="21">
        <f t="shared" si="0"/>
        <v>2020</v>
      </c>
      <c r="C25" s="3">
        <v>561.00659999999993</v>
      </c>
      <c r="D25" s="3"/>
      <c r="E25" s="2">
        <v>140.78</v>
      </c>
      <c r="F25" s="17"/>
      <c r="G25" s="3">
        <v>11.56</v>
      </c>
      <c r="H25" s="3">
        <f t="shared" si="1"/>
        <v>152.34</v>
      </c>
      <c r="I25" s="9">
        <f t="shared" si="3"/>
        <v>0.27154760746130263</v>
      </c>
      <c r="J25" s="7">
        <f t="shared" si="4"/>
        <v>15.580000000000013</v>
      </c>
      <c r="K25" s="5">
        <f>J25*(1/Annual!H$3)</f>
        <v>1167.7821218404222</v>
      </c>
      <c r="M25" s="5"/>
    </row>
    <row r="26" spans="1:13" x14ac:dyDescent="0.75">
      <c r="A26" s="1">
        <v>44197</v>
      </c>
      <c r="B26" s="21">
        <f t="shared" si="0"/>
        <v>2021</v>
      </c>
      <c r="C26" s="3">
        <v>39.017199999999995</v>
      </c>
      <c r="D26" s="3"/>
      <c r="E26" s="2">
        <v>14.36</v>
      </c>
      <c r="F26" s="17"/>
      <c r="G26" s="3">
        <v>0.36</v>
      </c>
      <c r="H26" s="3">
        <f t="shared" si="1"/>
        <v>14.719999999999999</v>
      </c>
      <c r="I26" s="9">
        <f t="shared" si="3"/>
        <v>0.37726951190756897</v>
      </c>
      <c r="J26" s="7">
        <f>H26</f>
        <v>14.719999999999999</v>
      </c>
      <c r="K26" s="5">
        <f>J26*(1/Annual!H$4)</f>
        <v>1141.4411413233163</v>
      </c>
      <c r="M26" s="5"/>
    </row>
    <row r="27" spans="1:13" x14ac:dyDescent="0.75">
      <c r="A27" s="1">
        <v>44228</v>
      </c>
      <c r="B27" s="21">
        <f t="shared" si="0"/>
        <v>2021</v>
      </c>
      <c r="C27" s="3">
        <v>80.162300000000002</v>
      </c>
      <c r="D27" s="3"/>
      <c r="E27" s="2">
        <v>24.15</v>
      </c>
      <c r="F27" s="17"/>
      <c r="G27" s="3">
        <v>0.9</v>
      </c>
      <c r="H27" s="3">
        <f t="shared" si="1"/>
        <v>25.049999999999997</v>
      </c>
      <c r="I27" s="9">
        <f t="shared" si="3"/>
        <v>0.31249103381514748</v>
      </c>
      <c r="J27" s="7">
        <f>H27-H26</f>
        <v>10.329999999999998</v>
      </c>
      <c r="K27" s="5">
        <f>J27*(1/Annual!H$4)</f>
        <v>801.02493137702822</v>
      </c>
      <c r="M27" s="5"/>
    </row>
    <row r="28" spans="1:13" x14ac:dyDescent="0.75">
      <c r="A28" s="1">
        <v>44256</v>
      </c>
      <c r="B28" s="21">
        <f t="shared" si="0"/>
        <v>2021</v>
      </c>
      <c r="C28" s="3">
        <v>120.71589999999999</v>
      </c>
      <c r="D28" s="3"/>
      <c r="E28" s="2">
        <v>34.54</v>
      </c>
      <c r="F28" s="17"/>
      <c r="G28" s="3">
        <v>6.15</v>
      </c>
      <c r="H28" s="3">
        <f t="shared" si="1"/>
        <v>40.69</v>
      </c>
      <c r="I28" s="9">
        <f t="shared" si="3"/>
        <v>0.33707241548130779</v>
      </c>
      <c r="J28" s="7">
        <f t="shared" ref="J28:J37" si="5">H28-H27</f>
        <v>15.64</v>
      </c>
      <c r="K28" s="5">
        <f>J28*(1/Annual!H$4)</f>
        <v>1212.7812126560236</v>
      </c>
      <c r="M28" s="5"/>
    </row>
    <row r="29" spans="1:13" x14ac:dyDescent="0.75">
      <c r="A29" s="1">
        <v>44287</v>
      </c>
      <c r="B29" s="21">
        <f t="shared" si="0"/>
        <v>2021</v>
      </c>
      <c r="C29" s="3">
        <v>216.23260000000002</v>
      </c>
      <c r="D29" s="3"/>
      <c r="E29" s="2">
        <v>46.38</v>
      </c>
      <c r="F29" s="17"/>
      <c r="G29" s="3">
        <v>7.03</v>
      </c>
      <c r="H29" s="3">
        <f t="shared" si="1"/>
        <v>53.410000000000004</v>
      </c>
      <c r="I29" s="9">
        <f t="shared" si="3"/>
        <v>0.24700253338303291</v>
      </c>
      <c r="J29" s="7">
        <f t="shared" si="5"/>
        <v>12.720000000000006</v>
      </c>
      <c r="K29" s="5">
        <f>J29*(1/Annual!H$4)</f>
        <v>986.35402973047485</v>
      </c>
      <c r="M29" s="5"/>
    </row>
    <row r="30" spans="1:13" x14ac:dyDescent="0.75">
      <c r="A30" s="1">
        <v>44317</v>
      </c>
      <c r="B30" s="21">
        <f t="shared" si="0"/>
        <v>2021</v>
      </c>
      <c r="C30" s="3">
        <v>257.69810000000001</v>
      </c>
      <c r="D30" s="3"/>
      <c r="E30" s="2">
        <v>64.650000000000006</v>
      </c>
      <c r="F30" s="17"/>
      <c r="G30" s="3">
        <v>7.58</v>
      </c>
      <c r="H30" s="3">
        <f t="shared" si="1"/>
        <v>72.23</v>
      </c>
      <c r="I30" s="9">
        <f t="shared" si="3"/>
        <v>0.28028922215569302</v>
      </c>
      <c r="J30" s="7">
        <f t="shared" si="5"/>
        <v>18.82</v>
      </c>
      <c r="K30" s="5">
        <f>J30*(1/Annual!H$4)</f>
        <v>1459.3697200886422</v>
      </c>
      <c r="M30" s="5"/>
    </row>
    <row r="31" spans="1:13" x14ac:dyDescent="0.75">
      <c r="A31" s="1">
        <v>44348</v>
      </c>
      <c r="B31" s="21">
        <f t="shared" si="0"/>
        <v>2021</v>
      </c>
      <c r="C31" s="3">
        <v>303.15899999999999</v>
      </c>
      <c r="D31" s="3"/>
      <c r="E31" s="2">
        <v>76.260000000000005</v>
      </c>
      <c r="F31" s="17"/>
      <c r="G31" s="3">
        <v>8.01</v>
      </c>
      <c r="H31" s="3">
        <f t="shared" si="1"/>
        <v>84.27000000000001</v>
      </c>
      <c r="I31" s="9">
        <f t="shared" si="3"/>
        <v>0.27797294489030511</v>
      </c>
      <c r="J31" s="7">
        <f t="shared" si="5"/>
        <v>12.040000000000006</v>
      </c>
      <c r="K31" s="5">
        <f>J31*(1/Annual!H$4)</f>
        <v>933.62441178890867</v>
      </c>
      <c r="M31" s="5"/>
    </row>
    <row r="32" spans="1:13" x14ac:dyDescent="0.75">
      <c r="A32" s="1">
        <v>44378</v>
      </c>
      <c r="B32" s="21">
        <f t="shared" si="0"/>
        <v>2021</v>
      </c>
      <c r="C32" s="3">
        <v>347.50049999999999</v>
      </c>
      <c r="D32" s="3"/>
      <c r="E32" s="2">
        <v>87.51</v>
      </c>
      <c r="F32" s="17"/>
      <c r="G32" s="3">
        <v>8.43</v>
      </c>
      <c r="H32" s="3">
        <f t="shared" si="1"/>
        <v>95.94</v>
      </c>
      <c r="I32" s="9">
        <f t="shared" si="3"/>
        <v>0.27608593368930406</v>
      </c>
      <c r="J32" s="7">
        <f t="shared" si="5"/>
        <v>11.669999999999987</v>
      </c>
      <c r="K32" s="5">
        <f>J32*(1/Annual!H$4)</f>
        <v>904.93329614423146</v>
      </c>
      <c r="M32" s="5"/>
    </row>
    <row r="33" spans="1:13" x14ac:dyDescent="0.75">
      <c r="A33" s="1">
        <v>44409</v>
      </c>
      <c r="B33" s="21">
        <f t="shared" si="0"/>
        <v>2021</v>
      </c>
      <c r="C33" s="3">
        <v>390.7919</v>
      </c>
      <c r="D33" s="3"/>
      <c r="E33" s="2">
        <v>98.99</v>
      </c>
      <c r="F33" s="17"/>
      <c r="G33" s="3">
        <v>8.94</v>
      </c>
      <c r="H33" s="3">
        <f t="shared" si="1"/>
        <v>107.92999999999999</v>
      </c>
      <c r="I33" s="9">
        <f t="shared" si="3"/>
        <v>0.27618279703340831</v>
      </c>
      <c r="J33" s="7">
        <f t="shared" si="5"/>
        <v>11.989999999999995</v>
      </c>
      <c r="K33" s="5">
        <f>J33*(1/Annual!H$4)</f>
        <v>929.7472339990868</v>
      </c>
      <c r="M33" s="5"/>
    </row>
    <row r="34" spans="1:13" x14ac:dyDescent="0.75">
      <c r="A34" s="1">
        <v>44440</v>
      </c>
      <c r="B34" s="21">
        <f t="shared" si="0"/>
        <v>2021</v>
      </c>
      <c r="C34" s="3">
        <v>443.57759999999996</v>
      </c>
      <c r="D34" s="3"/>
      <c r="E34" s="2">
        <v>108.92</v>
      </c>
      <c r="F34" s="17"/>
      <c r="G34" s="3">
        <v>9.52</v>
      </c>
      <c r="H34" s="3">
        <f t="shared" si="1"/>
        <v>118.44</v>
      </c>
      <c r="I34" s="9">
        <f t="shared" si="3"/>
        <v>0.2670107778210622</v>
      </c>
      <c r="J34" s="7">
        <f t="shared" si="5"/>
        <v>10.510000000000005</v>
      </c>
      <c r="K34" s="5">
        <f>J34*(1/Annual!H$4)</f>
        <v>814.98277142038455</v>
      </c>
      <c r="M34" s="5"/>
    </row>
    <row r="35" spans="1:13" x14ac:dyDescent="0.75">
      <c r="A35" s="1">
        <v>44470</v>
      </c>
      <c r="B35" s="21">
        <f t="shared" si="0"/>
        <v>2021</v>
      </c>
      <c r="C35" s="3">
        <v>490.79409999999996</v>
      </c>
      <c r="D35" s="3"/>
      <c r="E35" s="2">
        <v>118.82</v>
      </c>
      <c r="F35" s="17"/>
      <c r="G35" s="3">
        <v>10.28</v>
      </c>
      <c r="H35" s="3">
        <f t="shared" si="1"/>
        <v>129.1</v>
      </c>
      <c r="I35" s="9">
        <f t="shared" si="3"/>
        <v>0.26304309689134409</v>
      </c>
      <c r="J35" s="7">
        <f t="shared" si="5"/>
        <v>10.659999999999997</v>
      </c>
      <c r="K35" s="5">
        <f>J35*(1/Annual!H$4)</f>
        <v>826.61430478984698</v>
      </c>
      <c r="M35" s="5"/>
    </row>
    <row r="36" spans="1:13" x14ac:dyDescent="0.75">
      <c r="A36" s="1">
        <v>44501</v>
      </c>
      <c r="B36" s="21">
        <f t="shared" si="0"/>
        <v>2021</v>
      </c>
      <c r="C36" s="3">
        <v>554.65609999999992</v>
      </c>
      <c r="D36" s="3"/>
      <c r="E36" s="2">
        <v>130.52000000000001</v>
      </c>
      <c r="F36" s="17"/>
      <c r="G36" s="3">
        <v>11.04</v>
      </c>
      <c r="H36" s="3">
        <f t="shared" ref="H36:H67" si="6">E36+G36</f>
        <v>141.56</v>
      </c>
      <c r="I36" s="9">
        <f t="shared" si="3"/>
        <v>0.25522120824056566</v>
      </c>
      <c r="J36" s="7">
        <f t="shared" si="5"/>
        <v>12.460000000000008</v>
      </c>
      <c r="K36" s="5">
        <f>J36*(1/Annual!H$4)</f>
        <v>966.1927052234056</v>
      </c>
      <c r="M36" s="5"/>
    </row>
    <row r="37" spans="1:13" x14ac:dyDescent="0.75">
      <c r="A37" s="1">
        <v>44531</v>
      </c>
      <c r="B37" s="21">
        <f t="shared" si="0"/>
        <v>2021</v>
      </c>
      <c r="C37" s="3">
        <v>643.83759999999995</v>
      </c>
      <c r="D37" s="3"/>
      <c r="E37" s="2">
        <v>149.75</v>
      </c>
      <c r="F37" s="17">
        <v>14.9</v>
      </c>
      <c r="G37" s="3">
        <v>12.36</v>
      </c>
      <c r="H37" s="3">
        <f t="shared" si="6"/>
        <v>162.11000000000001</v>
      </c>
      <c r="I37" s="9">
        <f t="shared" si="3"/>
        <v>0.25178709662188109</v>
      </c>
      <c r="J37" s="7">
        <f t="shared" si="5"/>
        <v>20.550000000000011</v>
      </c>
      <c r="K37" s="5">
        <f>J37*(1/Annual!H$4)</f>
        <v>1593.5200716164513</v>
      </c>
      <c r="M37" s="5"/>
    </row>
    <row r="38" spans="1:13" x14ac:dyDescent="0.75">
      <c r="A38" s="1">
        <v>44562</v>
      </c>
      <c r="B38" s="21">
        <f t="shared" si="0"/>
        <v>2022</v>
      </c>
      <c r="C38" s="3">
        <v>61.146599999999999</v>
      </c>
      <c r="D38" s="3"/>
      <c r="E38" s="2">
        <v>18.22</v>
      </c>
      <c r="F38" s="17">
        <v>18.3</v>
      </c>
      <c r="G38" s="3">
        <v>0.43</v>
      </c>
      <c r="H38" s="3">
        <f t="shared" si="6"/>
        <v>18.649999999999999</v>
      </c>
      <c r="I38" s="9">
        <f t="shared" si="3"/>
        <v>0.30500469363791277</v>
      </c>
      <c r="J38" s="7">
        <f>H38</f>
        <v>18.649999999999999</v>
      </c>
      <c r="K38" s="5">
        <f>J38*(1/Annual!H$5)</f>
        <v>1459.2026089176006</v>
      </c>
      <c r="M38" s="5"/>
    </row>
    <row r="39" spans="1:13" x14ac:dyDescent="0.75">
      <c r="A39" s="1">
        <v>44593</v>
      </c>
      <c r="B39" s="21">
        <f t="shared" si="0"/>
        <v>2022</v>
      </c>
      <c r="C39" s="3">
        <v>110.245</v>
      </c>
      <c r="D39" s="3"/>
      <c r="E39" s="2">
        <v>28.57</v>
      </c>
      <c r="F39" s="17">
        <v>10.4</v>
      </c>
      <c r="G39" s="3">
        <v>0.97</v>
      </c>
      <c r="H39" s="3">
        <f t="shared" si="6"/>
        <v>29.54</v>
      </c>
      <c r="I39" s="9">
        <f t="shared" si="3"/>
        <v>0.26794865980316568</v>
      </c>
      <c r="J39" s="7">
        <f>H39-H38</f>
        <v>10.89</v>
      </c>
      <c r="K39" s="5">
        <f>J39*(1/Annual!H$5)</f>
        <v>852.04913732507634</v>
      </c>
      <c r="M39" s="5"/>
    </row>
    <row r="40" spans="1:13" x14ac:dyDescent="0.75">
      <c r="A40" s="1">
        <v>44621</v>
      </c>
      <c r="B40" s="21">
        <f t="shared" si="0"/>
        <v>2022</v>
      </c>
      <c r="C40" s="3">
        <v>172.4425</v>
      </c>
      <c r="D40" s="3"/>
      <c r="E40" s="2">
        <v>41.02</v>
      </c>
      <c r="F40" s="17">
        <v>12.4</v>
      </c>
      <c r="G40" s="3">
        <v>6.95</v>
      </c>
      <c r="H40" s="3">
        <f t="shared" si="6"/>
        <v>47.970000000000006</v>
      </c>
      <c r="I40" s="9">
        <f t="shared" si="3"/>
        <v>0.27817968308276675</v>
      </c>
      <c r="J40" s="7">
        <f t="shared" ref="J40:J49" si="7">H40-H39</f>
        <v>18.430000000000007</v>
      </c>
      <c r="K40" s="5">
        <f>J40*(1/Annual!H$5)</f>
        <v>1441.9894950322464</v>
      </c>
      <c r="M40" s="5"/>
    </row>
    <row r="41" spans="1:13" x14ac:dyDescent="0.75">
      <c r="A41" s="1">
        <v>44652</v>
      </c>
      <c r="B41" s="21">
        <f t="shared" si="0"/>
        <v>2022</v>
      </c>
      <c r="C41" s="3">
        <v>342.12729999999999</v>
      </c>
      <c r="D41" s="3"/>
      <c r="E41" s="2">
        <v>58.56</v>
      </c>
      <c r="F41" s="17">
        <v>18.2</v>
      </c>
      <c r="G41" s="3">
        <v>7.84</v>
      </c>
      <c r="H41" s="3">
        <f t="shared" si="6"/>
        <v>66.400000000000006</v>
      </c>
      <c r="I41" s="9">
        <f t="shared" si="3"/>
        <v>0.19407980596696028</v>
      </c>
      <c r="J41" s="7">
        <f t="shared" si="7"/>
        <v>18.43</v>
      </c>
      <c r="K41" s="5">
        <f>J41*(1/Annual!H$5)</f>
        <v>1441.9894950322457</v>
      </c>
      <c r="M41" s="5"/>
    </row>
    <row r="42" spans="1:13" x14ac:dyDescent="0.75">
      <c r="A42" s="1">
        <v>44682</v>
      </c>
      <c r="B42" s="21">
        <f t="shared" si="0"/>
        <v>2022</v>
      </c>
      <c r="C42" s="3">
        <v>418.34500000000003</v>
      </c>
      <c r="D42" s="3"/>
      <c r="E42" s="2">
        <v>79.13</v>
      </c>
      <c r="F42" s="17">
        <v>20</v>
      </c>
      <c r="G42" s="3">
        <v>8.23</v>
      </c>
      <c r="H42" s="3">
        <f t="shared" si="6"/>
        <v>87.36</v>
      </c>
      <c r="I42" s="9">
        <f t="shared" si="3"/>
        <v>0.20882286151382232</v>
      </c>
      <c r="J42" s="7">
        <f t="shared" si="7"/>
        <v>20.959999999999994</v>
      </c>
      <c r="K42" s="5">
        <f>J42*(1/Annual!H$5)</f>
        <v>1639.9403047138287</v>
      </c>
      <c r="M42" s="5"/>
    </row>
    <row r="43" spans="1:13" x14ac:dyDescent="0.75">
      <c r="A43" s="1">
        <v>44713</v>
      </c>
      <c r="B43" s="21">
        <f t="shared" si="0"/>
        <v>2022</v>
      </c>
      <c r="C43" s="3">
        <v>524.29390000000001</v>
      </c>
      <c r="D43" s="3"/>
      <c r="E43" s="2">
        <v>90.87</v>
      </c>
      <c r="F43" s="17"/>
      <c r="G43" s="3">
        <v>8.82</v>
      </c>
      <c r="H43" s="3">
        <f t="shared" si="6"/>
        <v>99.69</v>
      </c>
      <c r="I43" s="9">
        <f t="shared" si="3"/>
        <v>0.19014144547552431</v>
      </c>
      <c r="J43" s="7">
        <f t="shared" si="7"/>
        <v>12.329999999999998</v>
      </c>
      <c r="K43" s="5">
        <f>J43*(1/Annual!H$5)</f>
        <v>964.71679184740026</v>
      </c>
      <c r="M43" s="5"/>
    </row>
    <row r="44" spans="1:13" x14ac:dyDescent="0.75">
      <c r="A44" s="1">
        <v>44743</v>
      </c>
      <c r="B44" s="21">
        <f t="shared" si="0"/>
        <v>2022</v>
      </c>
      <c r="C44" s="3">
        <v>595.02009999999996</v>
      </c>
      <c r="D44" s="3"/>
      <c r="E44" s="2">
        <v>105.57</v>
      </c>
      <c r="F44" s="17"/>
      <c r="G44" s="3">
        <v>9.4600000000000009</v>
      </c>
      <c r="H44" s="3">
        <f t="shared" si="6"/>
        <v>115.03</v>
      </c>
      <c r="I44" s="9">
        <f t="shared" si="3"/>
        <v>0.19332120040986853</v>
      </c>
      <c r="J44" s="7">
        <f t="shared" si="7"/>
        <v>15.340000000000003</v>
      </c>
      <c r="K44" s="5">
        <f>J44*(1/Annual!H$5)</f>
        <v>1200.2234863697588</v>
      </c>
      <c r="M44" s="5"/>
    </row>
    <row r="45" spans="1:13" x14ac:dyDescent="0.75">
      <c r="A45" s="1">
        <v>44774</v>
      </c>
      <c r="B45" s="21">
        <f t="shared" si="0"/>
        <v>2022</v>
      </c>
      <c r="C45" s="3">
        <v>661.5326</v>
      </c>
      <c r="D45" s="3"/>
      <c r="E45" s="2">
        <v>120.17</v>
      </c>
      <c r="F45" s="17"/>
      <c r="G45" s="3">
        <v>9.94</v>
      </c>
      <c r="H45" s="3">
        <f t="shared" si="6"/>
        <v>130.11000000000001</v>
      </c>
      <c r="I45" s="9">
        <f t="shared" si="3"/>
        <v>0.19667964964991902</v>
      </c>
      <c r="J45" s="7">
        <f t="shared" si="7"/>
        <v>15.080000000000013</v>
      </c>
      <c r="K45" s="5">
        <f>J45*(1/Annual!H$5)</f>
        <v>1179.8807154143399</v>
      </c>
      <c r="M45" s="5"/>
    </row>
    <row r="46" spans="1:13" x14ac:dyDescent="0.75">
      <c r="A46" s="1">
        <v>44805</v>
      </c>
      <c r="B46" s="21">
        <f t="shared" si="0"/>
        <v>2022</v>
      </c>
      <c r="C46" s="3">
        <v>723.31349999999998</v>
      </c>
      <c r="D46" s="3"/>
      <c r="E46" s="2">
        <v>132.19</v>
      </c>
      <c r="F46" s="17"/>
      <c r="G46" s="3">
        <v>10.34</v>
      </c>
      <c r="H46" s="3">
        <f t="shared" si="6"/>
        <v>142.53</v>
      </c>
      <c r="I46" s="9">
        <f t="shared" si="3"/>
        <v>0.19705148597392419</v>
      </c>
      <c r="J46" s="7">
        <f t="shared" si="7"/>
        <v>12.419999999999987</v>
      </c>
      <c r="K46" s="5">
        <f>J46*(1/Annual!H$5)</f>
        <v>971.75852025504469</v>
      </c>
      <c r="M46" s="5"/>
    </row>
    <row r="47" spans="1:13" x14ac:dyDescent="0.75">
      <c r="A47" s="1">
        <v>44835</v>
      </c>
      <c r="B47" s="21">
        <f t="shared" si="0"/>
        <v>2022</v>
      </c>
      <c r="C47" s="3">
        <v>784.43130000000008</v>
      </c>
      <c r="D47" s="3"/>
      <c r="E47" s="2">
        <v>143.87</v>
      </c>
      <c r="F47" s="17"/>
      <c r="G47" s="3">
        <v>10.77</v>
      </c>
      <c r="H47" s="3">
        <f t="shared" si="6"/>
        <v>154.64000000000001</v>
      </c>
      <c r="I47" s="9">
        <f t="shared" si="3"/>
        <v>0.19713644776795622</v>
      </c>
      <c r="J47" s="7">
        <f t="shared" si="7"/>
        <v>12.110000000000014</v>
      </c>
      <c r="K47" s="5">
        <f>J47*(1/Annual!H$5)</f>
        <v>947.50367796204648</v>
      </c>
      <c r="M47" s="5"/>
    </row>
    <row r="48" spans="1:13" x14ac:dyDescent="0.75">
      <c r="A48" s="1">
        <v>44866</v>
      </c>
      <c r="B48" s="21">
        <f t="shared" si="0"/>
        <v>2022</v>
      </c>
      <c r="C48" s="3">
        <v>852.10980000000006</v>
      </c>
      <c r="D48" s="3"/>
      <c r="E48" s="2">
        <v>156.93</v>
      </c>
      <c r="F48" s="17"/>
      <c r="G48" s="3">
        <v>11.16</v>
      </c>
      <c r="H48" s="3">
        <f t="shared" si="6"/>
        <v>168.09</v>
      </c>
      <c r="I48" s="9">
        <f t="shared" si="3"/>
        <v>0.19726331043252876</v>
      </c>
      <c r="J48" s="7">
        <f t="shared" si="7"/>
        <v>13.449999999999989</v>
      </c>
      <c r="K48" s="5">
        <f>J48*(1/Annual!H$5)</f>
        <v>1052.3471898092073</v>
      </c>
      <c r="M48" s="5"/>
    </row>
    <row r="49" spans="1:13" x14ac:dyDescent="0.75">
      <c r="A49" s="1">
        <v>44896</v>
      </c>
      <c r="B49" s="21">
        <f t="shared" si="0"/>
        <v>2022</v>
      </c>
      <c r="C49" s="3">
        <v>920.37120000000004</v>
      </c>
      <c r="D49" s="3"/>
      <c r="E49" s="2">
        <v>172.2637569</v>
      </c>
      <c r="F49" s="17">
        <v>15.2</v>
      </c>
      <c r="G49" s="3">
        <v>11.702755440000001</v>
      </c>
      <c r="H49" s="3">
        <f t="shared" si="6"/>
        <v>183.96651234000001</v>
      </c>
      <c r="I49" s="9">
        <f t="shared" si="3"/>
        <v>0.19988295194373748</v>
      </c>
      <c r="J49" s="7">
        <f t="shared" si="7"/>
        <v>15.876512340000005</v>
      </c>
      <c r="K49" s="5">
        <f>J49*(1/Annual!H$5)</f>
        <v>1242.200977321206</v>
      </c>
      <c r="M49" s="5"/>
    </row>
    <row r="50" spans="1:13" x14ac:dyDescent="0.75">
      <c r="A50" s="1">
        <v>44927</v>
      </c>
      <c r="B50" s="21">
        <f t="shared" si="0"/>
        <v>2023</v>
      </c>
      <c r="C50" s="3">
        <v>78.285300000000007</v>
      </c>
      <c r="D50" s="3"/>
      <c r="E50" s="2">
        <v>22.29</v>
      </c>
      <c r="F50" s="17">
        <v>22.3</v>
      </c>
      <c r="G50" s="3">
        <v>0.39</v>
      </c>
      <c r="H50" s="3">
        <f t="shared" si="6"/>
        <v>22.68</v>
      </c>
      <c r="I50" s="9">
        <f t="shared" si="3"/>
        <v>0.28970956233162543</v>
      </c>
      <c r="J50" s="7">
        <f>H50</f>
        <v>22.68</v>
      </c>
      <c r="K50" s="5">
        <f>J50*(1/Annual!H$6)</f>
        <v>1607.1090267574732</v>
      </c>
      <c r="M50" s="5"/>
    </row>
    <row r="51" spans="1:13" x14ac:dyDescent="0.75">
      <c r="A51" s="1">
        <v>44958</v>
      </c>
      <c r="B51" s="21">
        <f t="shared" si="0"/>
        <v>2023</v>
      </c>
      <c r="C51" s="3">
        <v>137.09029999999998</v>
      </c>
      <c r="D51" s="3"/>
      <c r="E51" s="2">
        <v>34.700000000000003</v>
      </c>
      <c r="F51" s="17">
        <v>12.4</v>
      </c>
      <c r="G51" s="3">
        <v>1.19</v>
      </c>
      <c r="H51" s="3">
        <f t="shared" si="6"/>
        <v>35.89</v>
      </c>
      <c r="I51" s="9">
        <f t="shared" si="3"/>
        <v>0.26179824539008234</v>
      </c>
      <c r="J51" s="7">
        <f>H51-H50</f>
        <v>13.21</v>
      </c>
      <c r="K51" s="5">
        <f>J51*(1/Annual!H$6)</f>
        <v>936.06306188122676</v>
      </c>
      <c r="M51" s="5"/>
    </row>
    <row r="52" spans="1:13" x14ac:dyDescent="0.75">
      <c r="A52" s="1">
        <v>44986</v>
      </c>
      <c r="B52" s="21">
        <f t="shared" si="0"/>
        <v>2023</v>
      </c>
      <c r="C52" s="3">
        <v>225.9487</v>
      </c>
      <c r="D52" s="3"/>
      <c r="E52" s="2">
        <v>49.92</v>
      </c>
      <c r="F52" s="17">
        <v>15.2</v>
      </c>
      <c r="G52" s="3">
        <v>7.87</v>
      </c>
      <c r="H52" s="3">
        <f t="shared" si="6"/>
        <v>57.79</v>
      </c>
      <c r="I52" s="9">
        <f t="shared" si="3"/>
        <v>0.25576602122517189</v>
      </c>
      <c r="J52" s="7">
        <f t="shared" ref="J52:J61" si="8">H52-H51</f>
        <v>21.9</v>
      </c>
      <c r="K52" s="5">
        <f>J52*(1/Annual!H$6)</f>
        <v>1551.8380813927981</v>
      </c>
      <c r="M52" s="5"/>
    </row>
    <row r="53" spans="1:13" x14ac:dyDescent="0.75">
      <c r="A53" s="1">
        <v>45017</v>
      </c>
      <c r="B53" s="21">
        <f t="shared" si="0"/>
        <v>2023</v>
      </c>
      <c r="C53" s="3">
        <v>410.9212</v>
      </c>
      <c r="D53" s="3"/>
      <c r="E53" s="2">
        <v>69.290000000000006</v>
      </c>
      <c r="F53" s="17">
        <v>19.399999999999999</v>
      </c>
      <c r="G53" s="3">
        <v>8.36</v>
      </c>
      <c r="H53" s="3">
        <f t="shared" si="6"/>
        <v>77.650000000000006</v>
      </c>
      <c r="I53" s="9">
        <f t="shared" si="3"/>
        <v>0.18896567030369815</v>
      </c>
      <c r="J53" s="7">
        <f t="shared" si="8"/>
        <v>19.860000000000007</v>
      </c>
      <c r="K53" s="5">
        <f>J53*(1/Annual!H$6)</f>
        <v>1407.2833012082642</v>
      </c>
      <c r="M53" s="5"/>
    </row>
    <row r="54" spans="1:13" x14ac:dyDescent="0.75">
      <c r="A54" s="1">
        <v>45047</v>
      </c>
      <c r="B54" s="21">
        <f t="shared" si="0"/>
        <v>2023</v>
      </c>
      <c r="C54" s="3">
        <v>486.9393</v>
      </c>
      <c r="D54" s="3"/>
      <c r="E54" s="2">
        <v>92.33</v>
      </c>
      <c r="F54" s="17">
        <v>23.1</v>
      </c>
      <c r="G54" s="3">
        <v>8.8000000000000007</v>
      </c>
      <c r="H54" s="3">
        <f t="shared" si="6"/>
        <v>101.13</v>
      </c>
      <c r="I54" s="9">
        <f t="shared" si="3"/>
        <v>0.20768502357480695</v>
      </c>
      <c r="J54" s="7">
        <f t="shared" si="8"/>
        <v>23.47999999999999</v>
      </c>
      <c r="K54" s="5">
        <f>J54*(1/Annual!H$6)</f>
        <v>1663.7971758494468</v>
      </c>
      <c r="M54" s="5"/>
    </row>
    <row r="55" spans="1:13" x14ac:dyDescent="0.75">
      <c r="A55" s="1">
        <v>45078</v>
      </c>
      <c r="B55" s="21">
        <f t="shared" si="0"/>
        <v>2023</v>
      </c>
      <c r="C55" s="3">
        <v>565.00559999999996</v>
      </c>
      <c r="D55" s="3"/>
      <c r="E55" s="2">
        <v>107.67</v>
      </c>
      <c r="F55" s="17"/>
      <c r="G55" s="3">
        <v>9.25</v>
      </c>
      <c r="H55" s="3">
        <f t="shared" si="6"/>
        <v>116.92</v>
      </c>
      <c r="I55" s="9">
        <f t="shared" si="3"/>
        <v>0.20693600205024518</v>
      </c>
      <c r="J55" s="7">
        <f t="shared" si="8"/>
        <v>15.790000000000006</v>
      </c>
      <c r="K55" s="5">
        <f>J55*(1/Annual!H$6)</f>
        <v>1118.8823427028444</v>
      </c>
      <c r="M55" s="5"/>
    </row>
    <row r="56" spans="1:13" x14ac:dyDescent="0.75">
      <c r="A56" s="1">
        <v>45108</v>
      </c>
      <c r="B56" s="21">
        <f t="shared" si="0"/>
        <v>2023</v>
      </c>
      <c r="C56" s="3">
        <v>636.5553000000001</v>
      </c>
      <c r="D56" s="3"/>
      <c r="E56" s="2">
        <v>124.67</v>
      </c>
      <c r="F56" s="17"/>
      <c r="G56" s="3">
        <v>9.6999999999999993</v>
      </c>
      <c r="H56" s="3">
        <f t="shared" si="6"/>
        <v>134.37</v>
      </c>
      <c r="I56" s="9">
        <f t="shared" si="3"/>
        <v>0.21108928006726199</v>
      </c>
      <c r="J56" s="7">
        <f t="shared" si="8"/>
        <v>17.450000000000003</v>
      </c>
      <c r="K56" s="5">
        <f>J56*(1/Annual!H$6)</f>
        <v>1236.510252068691</v>
      </c>
      <c r="M56" s="5"/>
    </row>
    <row r="57" spans="1:13" x14ac:dyDescent="0.75">
      <c r="A57" s="1">
        <v>45139</v>
      </c>
      <c r="B57" s="21">
        <f t="shared" si="0"/>
        <v>2023</v>
      </c>
      <c r="C57" s="3">
        <v>708.2269</v>
      </c>
      <c r="D57" s="3"/>
      <c r="E57" s="2">
        <v>141.09</v>
      </c>
      <c r="F57" s="17"/>
      <c r="G57" s="3">
        <v>10.16</v>
      </c>
      <c r="H57" s="3">
        <f t="shared" si="6"/>
        <v>151.25</v>
      </c>
      <c r="I57" s="9">
        <f t="shared" si="3"/>
        <v>0.21356150126463708</v>
      </c>
      <c r="J57" s="7">
        <f t="shared" si="8"/>
        <v>16.879999999999995</v>
      </c>
      <c r="K57" s="5">
        <f>J57*(1/Annual!H$6)</f>
        <v>1196.1199458406588</v>
      </c>
      <c r="M57" s="5"/>
    </row>
    <row r="58" spans="1:13" x14ac:dyDescent="0.75">
      <c r="A58" s="1">
        <v>45170</v>
      </c>
      <c r="B58" s="21">
        <f t="shared" si="0"/>
        <v>2023</v>
      </c>
      <c r="C58" s="3">
        <v>771.74669999999992</v>
      </c>
      <c r="D58" s="3"/>
      <c r="E58" s="2">
        <v>154.9</v>
      </c>
      <c r="F58" s="17"/>
      <c r="G58" s="3">
        <v>10.62</v>
      </c>
      <c r="H58" s="3">
        <f t="shared" si="6"/>
        <v>165.52</v>
      </c>
      <c r="I58" s="9">
        <f t="shared" si="3"/>
        <v>0.21447451605559184</v>
      </c>
      <c r="J58" s="7">
        <f t="shared" si="8"/>
        <v>14.27000000000001</v>
      </c>
      <c r="K58" s="5">
        <f>J58*(1/Annual!H$6)</f>
        <v>1011.1748594280934</v>
      </c>
      <c r="M58" s="5"/>
    </row>
    <row r="59" spans="1:13" x14ac:dyDescent="0.75">
      <c r="A59" s="1">
        <v>45200</v>
      </c>
      <c r="B59" s="21">
        <f t="shared" si="0"/>
        <v>2023</v>
      </c>
      <c r="C59" s="3">
        <v>836.79250000000002</v>
      </c>
      <c r="D59" s="3"/>
      <c r="E59" s="2">
        <v>168.08</v>
      </c>
      <c r="F59" s="17"/>
      <c r="G59" s="3">
        <v>11.08</v>
      </c>
      <c r="H59" s="3">
        <f t="shared" si="6"/>
        <v>179.16000000000003</v>
      </c>
      <c r="I59" s="9">
        <f t="shared" si="3"/>
        <v>0.21410325737862138</v>
      </c>
      <c r="J59" s="7">
        <f t="shared" si="8"/>
        <v>13.640000000000015</v>
      </c>
      <c r="K59" s="5">
        <f>J59*(1/Annual!H$6)</f>
        <v>966.53294201816402</v>
      </c>
      <c r="M59" s="5"/>
    </row>
    <row r="60" spans="1:13" x14ac:dyDescent="0.75">
      <c r="A60" s="1">
        <v>45231</v>
      </c>
      <c r="B60" s="21">
        <f t="shared" si="0"/>
        <v>2023</v>
      </c>
      <c r="C60" s="3">
        <v>904.10649999999998</v>
      </c>
      <c r="D60" s="3"/>
      <c r="E60" s="2">
        <v>183.29</v>
      </c>
      <c r="F60" s="17"/>
      <c r="G60" s="3">
        <v>11.61</v>
      </c>
      <c r="H60" s="3">
        <f t="shared" si="6"/>
        <v>194.89999999999998</v>
      </c>
      <c r="I60" s="9">
        <f t="shared" si="3"/>
        <v>0.21557194865870336</v>
      </c>
      <c r="J60" s="7">
        <f t="shared" si="8"/>
        <v>15.739999999999952</v>
      </c>
      <c r="K60" s="5">
        <f>J60*(1/Annual!H$6)</f>
        <v>1115.3393333845922</v>
      </c>
      <c r="M60" s="5"/>
    </row>
    <row r="61" spans="1:13" x14ac:dyDescent="0.75">
      <c r="A61" s="1">
        <v>45261</v>
      </c>
      <c r="B61" s="21">
        <f t="shared" si="0"/>
        <v>2023</v>
      </c>
      <c r="C61" s="3">
        <v>993.03179999999998</v>
      </c>
      <c r="D61" s="3"/>
      <c r="E61" s="2">
        <v>201.1861767</v>
      </c>
      <c r="F61" s="17">
        <v>17.7</v>
      </c>
      <c r="G61" s="3">
        <v>12.62398211</v>
      </c>
      <c r="H61" s="3">
        <f t="shared" si="6"/>
        <v>213.81015881000002</v>
      </c>
      <c r="I61" s="9">
        <f t="shared" si="3"/>
        <v>0.21531048533390373</v>
      </c>
      <c r="J61" s="7">
        <f t="shared" si="8"/>
        <v>18.910158810000041</v>
      </c>
      <c r="K61" s="5">
        <f>J61*(1/Annual!H$6)</f>
        <v>1339.9773774677437</v>
      </c>
      <c r="M61" s="5"/>
    </row>
    <row r="62" spans="1:13" x14ac:dyDescent="0.75">
      <c r="A62" s="1">
        <v>45292</v>
      </c>
      <c r="B62" s="21">
        <f t="shared" si="0"/>
        <v>2024</v>
      </c>
      <c r="C62" s="3">
        <v>83.690300000000008</v>
      </c>
      <c r="D62" s="3"/>
      <c r="E62" s="2">
        <v>28.3</v>
      </c>
      <c r="F62" s="17">
        <v>28.4</v>
      </c>
      <c r="G62" s="3">
        <v>0.5</v>
      </c>
      <c r="H62" s="3">
        <f t="shared" si="6"/>
        <v>28.8</v>
      </c>
      <c r="I62" s="9">
        <f t="shared" si="3"/>
        <v>0.34412590228497208</v>
      </c>
      <c r="J62" s="7">
        <f>H62</f>
        <v>28.8</v>
      </c>
      <c r="K62" s="5">
        <f>J62*(1/Annual!H$7)</f>
        <v>1802.8915878014463</v>
      </c>
      <c r="M62" s="5"/>
    </row>
    <row r="63" spans="1:13" x14ac:dyDescent="0.75">
      <c r="A63" s="1">
        <v>45323</v>
      </c>
      <c r="B63" s="21">
        <f t="shared" si="0"/>
        <v>2024</v>
      </c>
      <c r="C63" s="3">
        <v>147.25720000000001</v>
      </c>
      <c r="D63" s="3"/>
      <c r="E63" s="2">
        <v>43.3</v>
      </c>
      <c r="F63" s="17">
        <v>15.1</v>
      </c>
      <c r="G63" s="3">
        <v>1.48</v>
      </c>
      <c r="H63" s="3">
        <f t="shared" si="6"/>
        <v>44.779999999999994</v>
      </c>
      <c r="I63" s="9">
        <f t="shared" si="3"/>
        <v>0.30409378964152511</v>
      </c>
      <c r="J63" s="7">
        <f>H63-H62</f>
        <v>15.979999999999993</v>
      </c>
      <c r="K63" s="5">
        <f>J63*(1/Annual!H$7)</f>
        <v>1000.3544296203854</v>
      </c>
      <c r="M63" s="5"/>
    </row>
    <row r="64" spans="1:13" x14ac:dyDescent="0.75">
      <c r="A64" s="1">
        <v>45352</v>
      </c>
      <c r="B64" s="21">
        <f t="shared" si="0"/>
        <v>2024</v>
      </c>
      <c r="C64" s="3">
        <v>220.42439999999999</v>
      </c>
      <c r="D64" s="3"/>
      <c r="E64" s="2">
        <v>62.86</v>
      </c>
      <c r="F64" s="17">
        <v>20.8</v>
      </c>
      <c r="G64" s="3">
        <v>8.59</v>
      </c>
      <c r="H64" s="3">
        <f t="shared" si="6"/>
        <v>71.45</v>
      </c>
      <c r="I64" s="9">
        <f t="shared" si="3"/>
        <v>0.32414741743654518</v>
      </c>
      <c r="J64" s="7">
        <f t="shared" ref="J64:J72" si="9">H64-H63</f>
        <v>26.670000000000009</v>
      </c>
      <c r="K64" s="5">
        <f>J64*(1/Annual!H$7)</f>
        <v>1669.5527307869647</v>
      </c>
      <c r="M64" s="5"/>
    </row>
    <row r="65" spans="1:14" x14ac:dyDescent="0.75">
      <c r="A65" s="1">
        <v>45383</v>
      </c>
      <c r="B65" s="21">
        <f t="shared" si="0"/>
        <v>2024</v>
      </c>
      <c r="C65" s="3">
        <v>377.00299999999999</v>
      </c>
      <c r="D65" s="3"/>
      <c r="E65" s="2">
        <v>97.97</v>
      </c>
      <c r="F65" s="17">
        <v>33.700000000000003</v>
      </c>
      <c r="G65" s="3">
        <v>9.23</v>
      </c>
      <c r="H65" s="3">
        <f t="shared" si="6"/>
        <v>107.2</v>
      </c>
      <c r="I65" s="9">
        <f t="shared" si="3"/>
        <v>0.28434786991084954</v>
      </c>
      <c r="J65" s="7">
        <f t="shared" si="9"/>
        <v>35.75</v>
      </c>
      <c r="K65" s="5">
        <f>J65*(1/Annual!H$7)</f>
        <v>2237.9643841632537</v>
      </c>
      <c r="M65" s="5"/>
    </row>
    <row r="66" spans="1:14" x14ac:dyDescent="0.75">
      <c r="A66" s="6">
        <v>45413</v>
      </c>
      <c r="B66" s="21">
        <f t="shared" si="0"/>
        <v>2024</v>
      </c>
      <c r="C66" s="8">
        <v>443.7176</v>
      </c>
      <c r="D66" s="8"/>
      <c r="E66" s="14">
        <f>E65+F66</f>
        <v>119.07</v>
      </c>
      <c r="F66" s="17">
        <v>21.1</v>
      </c>
      <c r="G66" s="8">
        <f>AVERAGE(G65,G67)</f>
        <v>9.7850000000000001</v>
      </c>
      <c r="H66" s="8">
        <f t="shared" si="6"/>
        <v>128.85499999999999</v>
      </c>
      <c r="I66" s="9">
        <f t="shared" si="3"/>
        <v>0.29039866798161712</v>
      </c>
      <c r="J66" s="10">
        <f>H66-H65</f>
        <v>21.654999999999987</v>
      </c>
      <c r="K66" s="5">
        <f>J66*(1/Annual!H$7)</f>
        <v>1355.6117129805657</v>
      </c>
      <c r="M66" s="5"/>
    </row>
    <row r="67" spans="1:14" x14ac:dyDescent="0.75">
      <c r="A67" s="1">
        <v>45444</v>
      </c>
      <c r="B67" s="21">
        <f t="shared" ref="B67:B85" si="10">YEAR(A67)</f>
        <v>2024</v>
      </c>
      <c r="C67" s="3">
        <v>519.57783823099999</v>
      </c>
      <c r="D67" s="3"/>
      <c r="E67" s="2">
        <v>138.4006</v>
      </c>
      <c r="F67" s="17"/>
      <c r="G67" s="3">
        <v>10.34</v>
      </c>
      <c r="H67" s="3">
        <f t="shared" si="6"/>
        <v>148.7406</v>
      </c>
      <c r="I67" s="9">
        <f t="shared" si="3"/>
        <v>0.28627202520110406</v>
      </c>
      <c r="J67" s="7">
        <f t="shared" si="9"/>
        <v>19.885600000000011</v>
      </c>
      <c r="K67" s="5">
        <f>J67*(1/Annual!H$7)</f>
        <v>1244.8465610550159</v>
      </c>
      <c r="M67" s="5"/>
    </row>
    <row r="68" spans="1:14" x14ac:dyDescent="0.75">
      <c r="A68" s="1">
        <v>45474</v>
      </c>
      <c r="B68" s="21">
        <f t="shared" si="10"/>
        <v>2024</v>
      </c>
      <c r="C68" s="3">
        <v>593.76220000000001</v>
      </c>
      <c r="D68" s="3"/>
      <c r="E68" s="2">
        <v>157.82</v>
      </c>
      <c r="F68" s="17"/>
      <c r="G68" s="3">
        <v>10.88</v>
      </c>
      <c r="H68" s="3">
        <f t="shared" ref="H68:H99" si="11">E68+G68</f>
        <v>168.7</v>
      </c>
      <c r="I68" s="9">
        <f t="shared" si="3"/>
        <v>0.28412047786133909</v>
      </c>
      <c r="J68" s="7">
        <f t="shared" si="9"/>
        <v>19.959399999999988</v>
      </c>
      <c r="K68" s="5">
        <f>J68*(1/Annual!H$7)</f>
        <v>1249.4664707487557</v>
      </c>
      <c r="M68" s="5"/>
    </row>
    <row r="69" spans="1:14" x14ac:dyDescent="0.75">
      <c r="A69" s="1">
        <v>45505</v>
      </c>
      <c r="B69" s="21">
        <f t="shared" si="10"/>
        <v>2024</v>
      </c>
      <c r="C69" s="3">
        <v>665.51930000000004</v>
      </c>
      <c r="D69" s="3"/>
      <c r="E69" s="2">
        <v>176.14</v>
      </c>
      <c r="F69" s="17"/>
      <c r="G69" s="3">
        <v>11.44</v>
      </c>
      <c r="H69" s="3">
        <f t="shared" si="11"/>
        <v>187.57999999999998</v>
      </c>
      <c r="I69" s="9">
        <f t="shared" ref="I69:I85" si="12">H69/C69</f>
        <v>0.28185508669695974</v>
      </c>
      <c r="J69" s="7">
        <f t="shared" si="9"/>
        <v>18.879999999999995</v>
      </c>
      <c r="K69" s="5">
        <f>J69*(1/Annual!H$7)</f>
        <v>1181.8955964476145</v>
      </c>
      <c r="M69" s="5"/>
    </row>
    <row r="70" spans="1:14" x14ac:dyDescent="0.75">
      <c r="A70" s="1">
        <v>45536</v>
      </c>
      <c r="B70" s="21">
        <f t="shared" si="10"/>
        <v>2024</v>
      </c>
      <c r="C70" s="3">
        <v>736.76189999999997</v>
      </c>
      <c r="D70" s="3"/>
      <c r="E70" s="2">
        <v>191.68</v>
      </c>
      <c r="F70" s="17"/>
      <c r="G70" s="3">
        <v>12.03</v>
      </c>
      <c r="H70" s="3">
        <f t="shared" si="11"/>
        <v>203.71</v>
      </c>
      <c r="I70" s="9">
        <f t="shared" si="12"/>
        <v>0.27649366776430762</v>
      </c>
      <c r="J70" s="7">
        <f t="shared" si="9"/>
        <v>16.130000000000024</v>
      </c>
      <c r="K70" s="5">
        <f>J70*(1/Annual!H$7)</f>
        <v>1009.7444899735198</v>
      </c>
      <c r="M70" s="5"/>
    </row>
    <row r="71" spans="1:14" x14ac:dyDescent="0.75">
      <c r="A71" s="1">
        <v>45566</v>
      </c>
      <c r="B71" s="21">
        <f t="shared" si="10"/>
        <v>2024</v>
      </c>
      <c r="C71" s="3">
        <v>810.75993627299999</v>
      </c>
      <c r="D71" s="3"/>
      <c r="E71" s="2">
        <v>206.99</v>
      </c>
      <c r="F71" s="17"/>
      <c r="G71" s="3">
        <v>12.68</v>
      </c>
      <c r="H71" s="3">
        <f t="shared" si="11"/>
        <v>219.67000000000002</v>
      </c>
      <c r="I71" s="9">
        <f t="shared" si="12"/>
        <v>0.27094333374414853</v>
      </c>
      <c r="J71" s="7">
        <f t="shared" si="9"/>
        <v>15.960000000000008</v>
      </c>
      <c r="K71" s="5">
        <f>J71*(1/Annual!H$7)</f>
        <v>999.10242157330197</v>
      </c>
      <c r="M71" s="5"/>
    </row>
    <row r="72" spans="1:14" x14ac:dyDescent="0.75">
      <c r="A72" s="1">
        <v>45597</v>
      </c>
      <c r="B72" s="21">
        <f t="shared" si="10"/>
        <v>2024</v>
      </c>
      <c r="C72" s="3">
        <v>885.68509193299997</v>
      </c>
      <c r="D72" s="3"/>
      <c r="E72" s="2">
        <v>223.42</v>
      </c>
      <c r="F72" s="17"/>
      <c r="G72" s="3">
        <v>13.38</v>
      </c>
      <c r="H72" s="3">
        <f t="shared" si="11"/>
        <v>236.79999999999998</v>
      </c>
      <c r="I72" s="9">
        <f t="shared" si="12"/>
        <v>0.26736365120833866</v>
      </c>
      <c r="J72" s="7">
        <f t="shared" si="9"/>
        <v>17.129999999999967</v>
      </c>
      <c r="K72" s="5">
        <f>J72*(1/Annual!H$7)</f>
        <v>1072.3448923277331</v>
      </c>
      <c r="M72" s="5"/>
    </row>
    <row r="73" spans="1:14" x14ac:dyDescent="0.75">
      <c r="A73" s="1">
        <v>45627</v>
      </c>
      <c r="B73" s="21">
        <f t="shared" si="10"/>
        <v>2024</v>
      </c>
      <c r="C73" s="3">
        <v>996.83420000000001</v>
      </c>
      <c r="D73" s="3"/>
      <c r="E73" s="2">
        <v>243.8</v>
      </c>
      <c r="F73" s="17">
        <v>20.2</v>
      </c>
      <c r="G73" s="8">
        <f>G72</f>
        <v>13.38</v>
      </c>
      <c r="H73" s="3">
        <f t="shared" si="11"/>
        <v>257.18</v>
      </c>
      <c r="I73" s="9">
        <f>H73/C73</f>
        <v>0.25799676616231665</v>
      </c>
      <c r="J73" s="7">
        <f>H73-H72</f>
        <v>20.380000000000024</v>
      </c>
      <c r="K73" s="5">
        <f>J73*(1/Annual!H$7)</f>
        <v>1275.7961999789416</v>
      </c>
    </row>
    <row r="74" spans="1:14" x14ac:dyDescent="0.75">
      <c r="A74" s="1">
        <v>45658</v>
      </c>
      <c r="B74" s="21">
        <f t="shared" si="10"/>
        <v>2025</v>
      </c>
      <c r="C74" s="3">
        <v>57.780452609529995</v>
      </c>
      <c r="D74" s="3">
        <v>21.9</v>
      </c>
      <c r="E74" s="2">
        <v>16.2</v>
      </c>
      <c r="F74" s="17">
        <v>16.2</v>
      </c>
      <c r="G74" s="3">
        <v>0.46</v>
      </c>
      <c r="H74" s="3">
        <f t="shared" si="11"/>
        <v>16.66</v>
      </c>
      <c r="I74" s="9">
        <f t="shared" si="12"/>
        <v>0.28833280543136813</v>
      </c>
      <c r="J74" s="7">
        <f>H74</f>
        <v>16.66</v>
      </c>
      <c r="K74" s="5">
        <f>J74*(1/Annual!H$8)</f>
        <v>1147.1604768099573</v>
      </c>
      <c r="M74" s="19" t="s">
        <v>11</v>
      </c>
      <c r="N74" t="s">
        <v>13</v>
      </c>
    </row>
    <row r="75" spans="1:14" x14ac:dyDescent="0.75">
      <c r="A75" s="1">
        <v>45689</v>
      </c>
      <c r="B75" s="21">
        <f t="shared" si="10"/>
        <v>2025</v>
      </c>
      <c r="C75" s="3">
        <v>99.881500000000003</v>
      </c>
      <c r="D75" s="3">
        <v>46</v>
      </c>
      <c r="E75" s="2">
        <v>31</v>
      </c>
      <c r="F75" s="17">
        <v>14.8</v>
      </c>
      <c r="G75" s="3"/>
      <c r="H75" s="3">
        <f t="shared" si="11"/>
        <v>31</v>
      </c>
      <c r="I75" s="9">
        <f t="shared" si="12"/>
        <v>0.31036778582620406</v>
      </c>
      <c r="J75" s="7">
        <f>H75-H74</f>
        <v>14.34</v>
      </c>
      <c r="K75" s="5">
        <f>J75*(1/Annual!H$8)</f>
        <v>987.41183898288045</v>
      </c>
      <c r="M75" s="20">
        <v>2019</v>
      </c>
      <c r="N75" s="4">
        <v>159.85999999999999</v>
      </c>
    </row>
    <row r="76" spans="1:14" x14ac:dyDescent="0.75">
      <c r="A76" s="1">
        <v>45717</v>
      </c>
      <c r="B76" s="21">
        <f t="shared" si="10"/>
        <v>2025</v>
      </c>
      <c r="C76" s="3">
        <v>154.06200048223002</v>
      </c>
      <c r="D76" s="3">
        <v>70.599999999999994</v>
      </c>
      <c r="E76" s="2">
        <v>50</v>
      </c>
      <c r="F76" s="17">
        <v>19.100000000000001</v>
      </c>
      <c r="G76" s="3"/>
      <c r="H76" s="3">
        <f t="shared" si="11"/>
        <v>50</v>
      </c>
      <c r="I76" s="9">
        <f t="shared" si="12"/>
        <v>0.32454466282077876</v>
      </c>
      <c r="J76" s="7">
        <f t="shared" ref="J76:J85" si="13">H76-H75</f>
        <v>19</v>
      </c>
      <c r="K76" s="5">
        <f>J76*(1/Annual!H$8)</f>
        <v>1308.2862580665781</v>
      </c>
      <c r="M76" s="20">
        <v>2020</v>
      </c>
      <c r="N76" s="4">
        <v>152.34</v>
      </c>
    </row>
    <row r="77" spans="1:14" x14ac:dyDescent="0.75">
      <c r="A77" s="1">
        <v>45748</v>
      </c>
      <c r="B77" s="21">
        <f t="shared" si="10"/>
        <v>2025</v>
      </c>
      <c r="C77" s="3">
        <v>280.987262676</v>
      </c>
      <c r="D77" s="3">
        <v>168.3</v>
      </c>
      <c r="E77" s="2">
        <v>85.2</v>
      </c>
      <c r="F77" s="17">
        <v>34.799999999999997</v>
      </c>
      <c r="G77" s="3"/>
      <c r="H77" s="8">
        <f>H76+F77</f>
        <v>84.8</v>
      </c>
      <c r="I77" s="9">
        <f t="shared" si="12"/>
        <v>0.30179303927303258</v>
      </c>
      <c r="J77" s="7">
        <f>H77-H76</f>
        <v>34.799999999999997</v>
      </c>
      <c r="K77" s="5">
        <f>J77*(1/Annual!H$8)</f>
        <v>2396.2295674061534</v>
      </c>
      <c r="M77" s="20">
        <v>2021</v>
      </c>
      <c r="N77" s="4">
        <v>162.11000000000001</v>
      </c>
    </row>
    <row r="78" spans="1:14" x14ac:dyDescent="0.75">
      <c r="A78" s="1">
        <v>45778</v>
      </c>
      <c r="B78" s="21">
        <f t="shared" si="10"/>
        <v>2025</v>
      </c>
      <c r="C78" s="3">
        <v>318.48219781699999</v>
      </c>
      <c r="D78" s="3">
        <v>194.36</v>
      </c>
      <c r="E78" s="2">
        <v>120.3</v>
      </c>
      <c r="F78" s="17">
        <v>19</v>
      </c>
      <c r="G78" s="3"/>
      <c r="H78" s="8">
        <f>H77+F78</f>
        <v>103.8</v>
      </c>
      <c r="I78" s="9">
        <f t="shared" si="12"/>
        <v>0.32592088572449351</v>
      </c>
      <c r="J78" s="7">
        <f t="shared" si="13"/>
        <v>19</v>
      </c>
      <c r="K78" s="5">
        <f>J78*(1/Annual!H$8)</f>
        <v>1308.2862580665781</v>
      </c>
      <c r="M78" s="20">
        <v>2022</v>
      </c>
      <c r="N78" s="4">
        <v>183.96651234000001</v>
      </c>
    </row>
    <row r="79" spans="1:14" x14ac:dyDescent="0.75">
      <c r="A79" s="6">
        <v>45809</v>
      </c>
      <c r="B79" s="21">
        <f t="shared" si="10"/>
        <v>2025</v>
      </c>
      <c r="C79" s="8">
        <v>477.735717218199</v>
      </c>
      <c r="E79" s="2"/>
      <c r="F79" s="17"/>
      <c r="G79" s="3"/>
      <c r="H79" s="8">
        <f>AVERAGE(I80:I82)*C79</f>
        <v>115.25876322153394</v>
      </c>
      <c r="I79" s="9">
        <f t="shared" si="12"/>
        <v>0.24126051092154607</v>
      </c>
      <c r="J79" s="10">
        <f t="shared" si="13"/>
        <v>11.458763221533943</v>
      </c>
      <c r="K79" s="5">
        <f>J79*(1/Annual!H$8)</f>
        <v>789.01802406166155</v>
      </c>
      <c r="M79" s="20">
        <v>2023</v>
      </c>
      <c r="N79" s="4">
        <v>213.81015881000002</v>
      </c>
    </row>
    <row r="80" spans="1:14" x14ac:dyDescent="0.75">
      <c r="A80" s="6">
        <v>45839</v>
      </c>
      <c r="B80" s="21">
        <f t="shared" si="10"/>
        <v>2025</v>
      </c>
      <c r="C80" s="8">
        <v>552.62754705000009</v>
      </c>
      <c r="E80" s="2"/>
      <c r="F80" s="17"/>
      <c r="G80" s="3"/>
      <c r="H80" s="8">
        <f>AVERAGE(I81:I83)*C80</f>
        <v>131.84921010371278</v>
      </c>
      <c r="I80" s="9">
        <f t="shared" si="12"/>
        <v>0.23858602562890963</v>
      </c>
      <c r="J80" s="10">
        <f t="shared" si="13"/>
        <v>16.590446882178838</v>
      </c>
      <c r="K80" s="5">
        <f>J80*(1/Annual!H$8)</f>
        <v>1142.3712458493726</v>
      </c>
      <c r="M80" s="20">
        <v>2024</v>
      </c>
      <c r="N80" s="4">
        <v>257.18</v>
      </c>
    </row>
    <row r="81" spans="1:14" x14ac:dyDescent="0.75">
      <c r="A81" s="1">
        <v>45870</v>
      </c>
      <c r="B81" s="21">
        <f t="shared" si="10"/>
        <v>2025</v>
      </c>
      <c r="C81" s="3">
        <v>625.90950629199995</v>
      </c>
      <c r="D81" s="12">
        <v>194.2</v>
      </c>
      <c r="E81" s="2">
        <v>180.3</v>
      </c>
      <c r="F81" s="17">
        <v>19.399999999999999</v>
      </c>
      <c r="G81" s="3">
        <v>15.91</v>
      </c>
      <c r="H81" s="8">
        <f>131.76+F81</f>
        <v>151.16</v>
      </c>
      <c r="I81" s="9">
        <f>H81/C81</f>
        <v>0.24150456013282004</v>
      </c>
      <c r="J81" s="7">
        <f>H81-H80</f>
        <v>19.310789896287218</v>
      </c>
      <c r="K81" s="5">
        <f>J81*(1/Annual!H$8)</f>
        <v>1329.6863712486045</v>
      </c>
      <c r="M81" s="20">
        <v>2025</v>
      </c>
      <c r="N81" s="4">
        <v>248.2</v>
      </c>
    </row>
    <row r="82" spans="1:14" x14ac:dyDescent="0.75">
      <c r="A82" s="6">
        <v>45901</v>
      </c>
      <c r="B82" s="21">
        <f t="shared" si="10"/>
        <v>2025</v>
      </c>
      <c r="C82" s="8">
        <v>680.47626041900003</v>
      </c>
      <c r="D82" s="12">
        <v>215.1</v>
      </c>
      <c r="F82" s="16"/>
      <c r="G82" s="3">
        <v>16.82</v>
      </c>
      <c r="H82" s="8">
        <f>AVERAGE(I83:I85)*C82</f>
        <v>165.82590431450387</v>
      </c>
      <c r="I82" s="9">
        <f t="shared" si="12"/>
        <v>0.24369094700290847</v>
      </c>
      <c r="J82" s="10">
        <f t="shared" si="13"/>
        <v>14.665904314503877</v>
      </c>
      <c r="K82" s="5">
        <f>J82*(1/Annual!H$8)</f>
        <v>1009.8526882518294</v>
      </c>
      <c r="M82" s="20" t="s">
        <v>12</v>
      </c>
      <c r="N82" s="4">
        <v>1377.4666711500001</v>
      </c>
    </row>
    <row r="83" spans="1:14" x14ac:dyDescent="0.75">
      <c r="A83" s="6">
        <v>45931</v>
      </c>
      <c r="B83" s="21">
        <f t="shared" si="10"/>
        <v>2025</v>
      </c>
      <c r="C83" s="8">
        <v>831.27109576800001</v>
      </c>
      <c r="D83" s="12">
        <v>237.56</v>
      </c>
      <c r="F83" s="16"/>
      <c r="G83" s="3"/>
      <c r="H83" s="11">
        <v>191.66</v>
      </c>
      <c r="I83" s="9">
        <f t="shared" si="12"/>
        <v>0.23056256975100034</v>
      </c>
      <c r="J83" s="10">
        <f t="shared" si="13"/>
        <v>25.834095685496123</v>
      </c>
      <c r="K83" s="5">
        <f>J83*(1/Annual!H$8)</f>
        <v>1778.8627565742975</v>
      </c>
    </row>
    <row r="84" spans="1:14" x14ac:dyDescent="0.75">
      <c r="A84" s="6">
        <v>45962</v>
      </c>
      <c r="B84" s="21">
        <f t="shared" si="10"/>
        <v>2025</v>
      </c>
      <c r="C84" s="8">
        <v>877.20246119900003</v>
      </c>
      <c r="D84" s="12">
        <v>263.58</v>
      </c>
      <c r="F84" s="16"/>
      <c r="G84" s="3"/>
      <c r="H84" s="11">
        <v>218.31</v>
      </c>
      <c r="I84" s="9">
        <f t="shared" si="12"/>
        <v>0.24887071076112122</v>
      </c>
      <c r="J84" s="10">
        <f t="shared" si="13"/>
        <v>26.650000000000006</v>
      </c>
      <c r="K84" s="5">
        <f>J84*(1/Annual!H$8)</f>
        <v>1835.0436198670691</v>
      </c>
    </row>
    <row r="85" spans="1:14" x14ac:dyDescent="0.75">
      <c r="A85" s="6">
        <v>45992</v>
      </c>
      <c r="B85" s="21">
        <f t="shared" si="10"/>
        <v>2025</v>
      </c>
      <c r="C85" s="8">
        <v>986.33140000000003</v>
      </c>
      <c r="D85" s="12">
        <v>321.39999999999998</v>
      </c>
      <c r="F85" s="16"/>
      <c r="G85" s="3"/>
      <c r="H85" s="11">
        <v>248.2</v>
      </c>
      <c r="I85" s="9">
        <f t="shared" si="12"/>
        <v>0.25163956049660385</v>
      </c>
      <c r="J85" s="10">
        <f t="shared" si="13"/>
        <v>29.889999999999986</v>
      </c>
      <c r="K85" s="5">
        <f>J85*(1/Annual!H$8)</f>
        <v>2058.1408554531577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E115-5366-4474-9286-28C5E2BA71C0}">
  <dimension ref="A1:F52"/>
  <sheetViews>
    <sheetView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defaultRowHeight="14.75" x14ac:dyDescent="0.75"/>
  <cols>
    <col min="2" max="6" width="15.6796875" customWidth="1"/>
  </cols>
  <sheetData>
    <row r="1" spans="1:6" x14ac:dyDescent="0.75">
      <c r="A1" s="22" t="e">
        <f ca="1">CEIC.LINK("fde0b22e-ddfc-48c1-a6bf-a7b7b9c79390", "Series")</f>
        <v>#NAME?</v>
      </c>
      <c r="B1" s="23" t="s">
        <v>14</v>
      </c>
      <c r="C1" s="24" t="s">
        <v>15</v>
      </c>
      <c r="D1" s="23" t="s">
        <v>16</v>
      </c>
      <c r="E1" s="24" t="s">
        <v>17</v>
      </c>
      <c r="F1" s="23" t="s">
        <v>18</v>
      </c>
    </row>
    <row r="2" spans="1:6" x14ac:dyDescent="0.75">
      <c r="A2" s="23" t="s">
        <v>19</v>
      </c>
      <c r="B2" s="23" t="s">
        <v>20</v>
      </c>
      <c r="C2" s="24" t="s">
        <v>20</v>
      </c>
      <c r="D2" s="23" t="s">
        <v>20</v>
      </c>
      <c r="E2" s="24" t="s">
        <v>20</v>
      </c>
      <c r="F2" s="23" t="s">
        <v>20</v>
      </c>
    </row>
    <row r="3" spans="1:6" x14ac:dyDescent="0.75">
      <c r="A3" s="23" t="s">
        <v>21</v>
      </c>
      <c r="B3" s="23"/>
      <c r="C3" s="24"/>
      <c r="D3" s="23"/>
      <c r="E3" s="24"/>
      <c r="F3" s="23"/>
    </row>
    <row r="4" spans="1:6" x14ac:dyDescent="0.75">
      <c r="A4" s="23" t="s">
        <v>22</v>
      </c>
      <c r="B4" s="23" t="s">
        <v>23</v>
      </c>
      <c r="C4" s="24" t="s">
        <v>23</v>
      </c>
      <c r="D4" s="23" t="s">
        <v>23</v>
      </c>
      <c r="E4" s="24" t="s">
        <v>23</v>
      </c>
      <c r="F4" s="23" t="s">
        <v>23</v>
      </c>
    </row>
    <row r="5" spans="1:6" x14ac:dyDescent="0.75">
      <c r="A5" s="23" t="s">
        <v>24</v>
      </c>
      <c r="B5" s="23" t="s">
        <v>25</v>
      </c>
      <c r="C5" s="24" t="s">
        <v>25</v>
      </c>
      <c r="D5" s="23" t="s">
        <v>26</v>
      </c>
      <c r="E5" s="24" t="s">
        <v>26</v>
      </c>
      <c r="F5" s="23" t="s">
        <v>26</v>
      </c>
    </row>
    <row r="6" spans="1:6" x14ac:dyDescent="0.75">
      <c r="A6" s="23" t="s">
        <v>27</v>
      </c>
      <c r="B6" s="23" t="s">
        <v>28</v>
      </c>
      <c r="C6" s="24" t="s">
        <v>28</v>
      </c>
      <c r="D6" s="23" t="s">
        <v>28</v>
      </c>
      <c r="E6" s="24" t="s">
        <v>28</v>
      </c>
      <c r="F6" s="23" t="s">
        <v>28</v>
      </c>
    </row>
    <row r="7" spans="1:6" x14ac:dyDescent="0.75">
      <c r="A7" s="23" t="s">
        <v>29</v>
      </c>
      <c r="B7" s="23" t="s">
        <v>30</v>
      </c>
      <c r="C7" s="24" t="s">
        <v>31</v>
      </c>
      <c r="D7" s="23" t="s">
        <v>30</v>
      </c>
      <c r="E7" s="24" t="s">
        <v>31</v>
      </c>
      <c r="F7" s="23" t="s">
        <v>30</v>
      </c>
    </row>
    <row r="8" spans="1:6" x14ac:dyDescent="0.75">
      <c r="A8" s="25" t="s">
        <v>32</v>
      </c>
      <c r="B8" s="25" t="s">
        <v>33</v>
      </c>
      <c r="C8" s="26" t="s">
        <v>34</v>
      </c>
      <c r="D8" s="25" t="s">
        <v>35</v>
      </c>
      <c r="E8" s="26" t="s">
        <v>36</v>
      </c>
      <c r="F8" s="25" t="s">
        <v>37</v>
      </c>
    </row>
    <row r="9" spans="1:6" x14ac:dyDescent="0.75">
      <c r="A9" s="23" t="s">
        <v>38</v>
      </c>
      <c r="B9" s="23" t="s">
        <v>39</v>
      </c>
      <c r="C9" s="24" t="s">
        <v>40</v>
      </c>
      <c r="D9" s="23" t="s">
        <v>41</v>
      </c>
      <c r="E9" s="24" t="s">
        <v>42</v>
      </c>
      <c r="F9" s="23" t="s">
        <v>43</v>
      </c>
    </row>
    <row r="10" spans="1:6" x14ac:dyDescent="0.75">
      <c r="A10" s="23" t="s">
        <v>44</v>
      </c>
      <c r="B10" s="23"/>
      <c r="C10" s="24"/>
      <c r="D10" s="23"/>
      <c r="E10" s="24"/>
      <c r="F10" s="23"/>
    </row>
    <row r="11" spans="1:6" x14ac:dyDescent="0.75">
      <c r="A11" s="23" t="s">
        <v>45</v>
      </c>
      <c r="B11" s="23"/>
      <c r="C11" s="24"/>
      <c r="D11" s="23"/>
      <c r="E11" s="24"/>
      <c r="F11" s="23"/>
    </row>
    <row r="12" spans="1:6" x14ac:dyDescent="0.75">
      <c r="A12" s="23" t="s">
        <v>46</v>
      </c>
      <c r="B12" s="23"/>
      <c r="C12" s="24"/>
      <c r="D12" s="23"/>
      <c r="E12" s="24"/>
      <c r="F12" s="23"/>
    </row>
    <row r="13" spans="1:6" x14ac:dyDescent="0.75">
      <c r="A13" s="23" t="s">
        <v>47</v>
      </c>
      <c r="B13" s="27">
        <v>40513</v>
      </c>
      <c r="C13" s="28">
        <v>36861</v>
      </c>
      <c r="D13" s="27">
        <v>40513</v>
      </c>
      <c r="E13" s="28">
        <v>36861</v>
      </c>
      <c r="F13" s="27">
        <v>40513</v>
      </c>
    </row>
    <row r="14" spans="1:6" x14ac:dyDescent="0.75">
      <c r="A14" s="23" t="s">
        <v>48</v>
      </c>
      <c r="B14" s="27">
        <v>45627</v>
      </c>
      <c r="C14" s="28">
        <v>41609</v>
      </c>
      <c r="D14" s="27">
        <v>45627</v>
      </c>
      <c r="E14" s="28">
        <v>41609</v>
      </c>
      <c r="F14" s="27">
        <v>45627</v>
      </c>
    </row>
    <row r="15" spans="1:6" x14ac:dyDescent="0.75">
      <c r="A15" s="23" t="s">
        <v>49</v>
      </c>
      <c r="B15" s="29">
        <v>45966</v>
      </c>
      <c r="C15" s="30">
        <v>44193</v>
      </c>
      <c r="D15" s="29">
        <v>45966</v>
      </c>
      <c r="E15" s="30">
        <v>44169</v>
      </c>
      <c r="F15" s="29">
        <v>45966</v>
      </c>
    </row>
    <row r="16" spans="1:6" ht="22.75" customHeight="1" x14ac:dyDescent="0.75">
      <c r="A16" s="31" t="s">
        <v>50</v>
      </c>
      <c r="B16" s="31"/>
      <c r="C16" s="32" t="s">
        <v>51</v>
      </c>
      <c r="D16" s="31"/>
      <c r="E16" s="32" t="s">
        <v>52</v>
      </c>
      <c r="F16" s="31"/>
    </row>
    <row r="17" spans="1:6" x14ac:dyDescent="0.75">
      <c r="A17" s="25" t="s">
        <v>53</v>
      </c>
      <c r="B17" s="25"/>
      <c r="C17" s="26">
        <v>367698317</v>
      </c>
      <c r="D17" s="25"/>
      <c r="E17" s="26">
        <v>372406017</v>
      </c>
      <c r="F17" s="25"/>
    </row>
    <row r="18" spans="1:6" x14ac:dyDescent="0.75">
      <c r="A18" s="33" t="s">
        <v>54</v>
      </c>
      <c r="B18" s="33">
        <v>38456713.662551321</v>
      </c>
      <c r="C18" s="34">
        <v>16588698.2483317</v>
      </c>
      <c r="D18" s="33">
        <v>10239587.589323429</v>
      </c>
      <c r="E18" s="34">
        <v>3909225.7535714279</v>
      </c>
      <c r="F18" s="33">
        <v>10168874.06932343</v>
      </c>
    </row>
    <row r="19" spans="1:6" x14ac:dyDescent="0.75">
      <c r="A19" s="33" t="s">
        <v>55</v>
      </c>
      <c r="B19" s="33">
        <v>119809932434008.09</v>
      </c>
      <c r="C19" s="34">
        <v>84573592641804.281</v>
      </c>
      <c r="D19" s="33">
        <v>11612013002871.15</v>
      </c>
      <c r="E19" s="34">
        <v>5609651723622.8174</v>
      </c>
      <c r="F19" s="33">
        <v>11482194206028.15</v>
      </c>
    </row>
    <row r="20" spans="1:6" x14ac:dyDescent="0.75">
      <c r="A20" s="33" t="s">
        <v>56</v>
      </c>
      <c r="B20" s="33">
        <v>10945772.354384501</v>
      </c>
      <c r="C20" s="34">
        <v>9196390.1962565873</v>
      </c>
      <c r="D20" s="33">
        <v>3407640.3863775218</v>
      </c>
      <c r="E20" s="34">
        <v>2368470.3341234438</v>
      </c>
      <c r="F20" s="33">
        <v>3388538.6534652589</v>
      </c>
    </row>
    <row r="21" spans="1:6" x14ac:dyDescent="0.75">
      <c r="A21" s="33" t="s">
        <v>57</v>
      </c>
      <c r="B21" s="33">
        <v>0.21347785337026171</v>
      </c>
      <c r="C21" s="34">
        <v>0.53868668302984846</v>
      </c>
      <c r="D21" s="33">
        <v>0.27644086520199568</v>
      </c>
      <c r="E21" s="34">
        <v>0.59356262841394158</v>
      </c>
      <c r="F21" s="33">
        <v>0.283971537897799</v>
      </c>
    </row>
    <row r="22" spans="1:6" x14ac:dyDescent="0.75">
      <c r="A22" s="33" t="s">
        <v>58</v>
      </c>
      <c r="B22" s="33">
        <v>-0.91922911616706049</v>
      </c>
      <c r="C22" s="34">
        <v>-1.1677239738909859</v>
      </c>
      <c r="D22" s="33">
        <v>-0.91302566262076068</v>
      </c>
      <c r="E22" s="34">
        <v>-1.0607336939848271</v>
      </c>
      <c r="F22" s="33">
        <v>-0.90348042586239208</v>
      </c>
    </row>
    <row r="23" spans="1:6" x14ac:dyDescent="0.75">
      <c r="A23" s="33" t="s">
        <v>59</v>
      </c>
      <c r="B23" s="33">
        <v>0.28462578603130517</v>
      </c>
      <c r="C23" s="34">
        <v>0.55437684492099648</v>
      </c>
      <c r="D23" s="33">
        <v>0.33279078445801719</v>
      </c>
      <c r="E23" s="34">
        <v>0.60586686045430704</v>
      </c>
      <c r="F23" s="33">
        <v>0.33322653327839968</v>
      </c>
    </row>
    <row r="24" spans="1:6" x14ac:dyDescent="0.75">
      <c r="A24" s="33" t="s">
        <v>60</v>
      </c>
      <c r="B24" s="33">
        <v>21767787.499634001</v>
      </c>
      <c r="C24" s="34">
        <v>6171327.8246986698</v>
      </c>
      <c r="D24" s="33">
        <v>5214586.0725704003</v>
      </c>
      <c r="E24" s="34">
        <v>1275928.3999999999</v>
      </c>
      <c r="F24" s="33">
        <v>5172925.9725703998</v>
      </c>
    </row>
    <row r="25" spans="1:6" x14ac:dyDescent="0.75">
      <c r="A25" s="33" t="s">
        <v>61</v>
      </c>
      <c r="B25" s="33">
        <v>57171002.431886598</v>
      </c>
      <c r="C25" s="34">
        <v>32476352.260079</v>
      </c>
      <c r="D25" s="33">
        <v>16194305.2774575</v>
      </c>
      <c r="E25" s="34">
        <v>8119874.2000000002</v>
      </c>
      <c r="F25" s="33">
        <v>16099571.477457499</v>
      </c>
    </row>
    <row r="26" spans="1:6" x14ac:dyDescent="0.75">
      <c r="A26" s="33" t="s">
        <v>62</v>
      </c>
      <c r="B26" s="33">
        <v>38345435.463905796</v>
      </c>
      <c r="C26" s="34">
        <v>14158837.2942905</v>
      </c>
      <c r="D26" s="33">
        <v>10102551.130861999</v>
      </c>
      <c r="E26" s="34">
        <v>3250294.7</v>
      </c>
      <c r="F26" s="33">
        <v>10042319.530862</v>
      </c>
    </row>
    <row r="27" spans="1:6" x14ac:dyDescent="0.75">
      <c r="A27" s="23" t="s">
        <v>63</v>
      </c>
      <c r="B27" s="23">
        <v>15</v>
      </c>
      <c r="C27" s="24">
        <v>14</v>
      </c>
      <c r="D27" s="23">
        <v>15</v>
      </c>
      <c r="E27" s="24">
        <v>14</v>
      </c>
      <c r="F27" s="23">
        <v>15</v>
      </c>
    </row>
    <row r="28" spans="1:6" x14ac:dyDescent="0.75">
      <c r="A28" s="35">
        <v>36861</v>
      </c>
      <c r="B28" s="3"/>
      <c r="C28" s="36">
        <v>6171327.8246986698</v>
      </c>
      <c r="D28" s="3"/>
      <c r="E28" s="36">
        <v>1275928.3999999999</v>
      </c>
      <c r="F28" s="3"/>
    </row>
    <row r="29" spans="1:6" x14ac:dyDescent="0.75">
      <c r="A29" s="35">
        <v>37226</v>
      </c>
      <c r="B29" s="3"/>
      <c r="C29" s="36">
        <v>7066148.7007234097</v>
      </c>
      <c r="D29" s="3"/>
      <c r="E29" s="36">
        <v>1482237.6</v>
      </c>
      <c r="F29" s="3"/>
    </row>
    <row r="30" spans="1:6" x14ac:dyDescent="0.75">
      <c r="A30" s="35">
        <v>37591</v>
      </c>
      <c r="B30" s="3"/>
      <c r="C30" s="36">
        <v>7591871.4249968901</v>
      </c>
      <c r="D30" s="3"/>
      <c r="E30" s="36">
        <v>1616834.9</v>
      </c>
      <c r="F30" s="3"/>
    </row>
    <row r="31" spans="1:6" x14ac:dyDescent="0.75">
      <c r="A31" s="35">
        <v>37956</v>
      </c>
      <c r="B31" s="3"/>
      <c r="C31" s="36">
        <v>8155009.3789574001</v>
      </c>
      <c r="D31" s="3"/>
      <c r="E31" s="36">
        <v>1763080.4</v>
      </c>
      <c r="F31" s="3"/>
    </row>
    <row r="32" spans="1:6" x14ac:dyDescent="0.75">
      <c r="A32" s="35">
        <v>38322</v>
      </c>
      <c r="B32" s="3"/>
      <c r="C32" s="36">
        <v>9239222.2945517004</v>
      </c>
      <c r="D32" s="3"/>
      <c r="E32" s="36">
        <v>2028794.4</v>
      </c>
      <c r="F32" s="3"/>
    </row>
    <row r="33" spans="1:6" x14ac:dyDescent="0.75">
      <c r="A33" s="35">
        <v>38687</v>
      </c>
      <c r="B33" s="3"/>
      <c r="C33" s="36">
        <v>11061511.3734535</v>
      </c>
      <c r="D33" s="3"/>
      <c r="E33" s="36">
        <v>2492957.7999999998</v>
      </c>
      <c r="F33" s="3"/>
    </row>
    <row r="34" spans="1:6" x14ac:dyDescent="0.75">
      <c r="A34" s="35">
        <v>39052</v>
      </c>
      <c r="B34" s="3"/>
      <c r="C34" s="36">
        <v>13055602.078408999</v>
      </c>
      <c r="D34" s="3"/>
      <c r="E34" s="36">
        <v>2975804.4</v>
      </c>
      <c r="F34" s="3"/>
    </row>
    <row r="35" spans="1:6" x14ac:dyDescent="0.75">
      <c r="A35" s="35">
        <v>39417</v>
      </c>
      <c r="B35" s="3"/>
      <c r="C35" s="36">
        <v>15262072.510172</v>
      </c>
      <c r="D35" s="3"/>
      <c r="E35" s="36">
        <v>3524785</v>
      </c>
      <c r="F35" s="3"/>
    </row>
    <row r="36" spans="1:6" x14ac:dyDescent="0.75">
      <c r="A36" s="35">
        <v>39783</v>
      </c>
      <c r="B36" s="3"/>
      <c r="C36" s="36">
        <v>19103240.356574502</v>
      </c>
      <c r="D36" s="3"/>
      <c r="E36" s="36">
        <v>4472543.33</v>
      </c>
      <c r="F36" s="3"/>
    </row>
    <row r="37" spans="1:6" x14ac:dyDescent="0.75">
      <c r="A37" s="35">
        <v>40148</v>
      </c>
      <c r="B37" s="3"/>
      <c r="C37" s="36">
        <v>20917534.951669399</v>
      </c>
      <c r="D37" s="3"/>
      <c r="E37" s="36">
        <v>4961430.58</v>
      </c>
      <c r="F37" s="3"/>
    </row>
    <row r="38" spans="1:6" x14ac:dyDescent="0.75">
      <c r="A38" s="35">
        <v>40513</v>
      </c>
      <c r="B38" s="3">
        <v>21767787.499634001</v>
      </c>
      <c r="C38" s="36">
        <v>23974407.3123377</v>
      </c>
      <c r="D38" s="3">
        <v>5214586.0725704003</v>
      </c>
      <c r="E38" s="36">
        <v>5760006.9400000004</v>
      </c>
      <c r="F38" s="3">
        <v>5172925.9725703998</v>
      </c>
    </row>
    <row r="39" spans="1:6" x14ac:dyDescent="0.75">
      <c r="A39" s="35">
        <v>40878</v>
      </c>
      <c r="B39" s="3">
        <v>24658691.1054346</v>
      </c>
      <c r="C39" s="36">
        <v>27487046.9442336</v>
      </c>
      <c r="D39" s="3">
        <v>6003797.4216879001</v>
      </c>
      <c r="E39" s="36">
        <v>6688233.2000000002</v>
      </c>
      <c r="F39" s="3">
        <v>5967173.9216879001</v>
      </c>
    </row>
    <row r="40" spans="1:6" x14ac:dyDescent="0.75">
      <c r="A40" s="35">
        <v>41244</v>
      </c>
      <c r="B40" s="3">
        <v>26527004.1469413</v>
      </c>
      <c r="C40" s="36">
        <v>30680428.065786999</v>
      </c>
      <c r="D40" s="3">
        <v>6548817.2981639002</v>
      </c>
      <c r="E40" s="36">
        <v>7566649.4000000004</v>
      </c>
      <c r="F40" s="3">
        <v>6510395.2981639002</v>
      </c>
    </row>
    <row r="41" spans="1:6" x14ac:dyDescent="0.75">
      <c r="A41" s="35">
        <v>41609</v>
      </c>
      <c r="B41" s="3">
        <v>28890818.208271001</v>
      </c>
      <c r="C41" s="36">
        <v>32476352.260079</v>
      </c>
      <c r="D41" s="3">
        <v>7232275.2940274002</v>
      </c>
      <c r="E41" s="36">
        <v>8119874.2000000002</v>
      </c>
      <c r="F41" s="3">
        <v>7188558.4940274004</v>
      </c>
    </row>
    <row r="42" spans="1:6" x14ac:dyDescent="0.75">
      <c r="A42" s="35">
        <v>41974</v>
      </c>
      <c r="B42" s="3">
        <v>31376037.399815898</v>
      </c>
      <c r="C42" s="3"/>
      <c r="D42" s="3">
        <v>7973881.3957171002</v>
      </c>
      <c r="E42" s="3"/>
      <c r="F42" s="3">
        <v>7911932.1957171001</v>
      </c>
    </row>
    <row r="43" spans="1:6" x14ac:dyDescent="0.75">
      <c r="A43" s="35">
        <v>42339</v>
      </c>
      <c r="B43" s="3">
        <v>32958302.587198801</v>
      </c>
      <c r="C43" s="3"/>
      <c r="D43" s="3">
        <v>8493271.3080401998</v>
      </c>
      <c r="E43" s="3"/>
      <c r="F43" s="3">
        <v>8419584.0080402009</v>
      </c>
    </row>
    <row r="44" spans="1:6" x14ac:dyDescent="0.75">
      <c r="A44" s="35">
        <v>42705</v>
      </c>
      <c r="B44" s="3">
        <v>36447265.7970016</v>
      </c>
      <c r="C44" s="3"/>
      <c r="D44" s="3">
        <v>9488426.0980133004</v>
      </c>
      <c r="E44" s="3"/>
      <c r="F44" s="3">
        <v>9429089.8980132993</v>
      </c>
    </row>
    <row r="45" spans="1:6" x14ac:dyDescent="0.75">
      <c r="A45" s="35">
        <v>43070</v>
      </c>
      <c r="B45" s="3">
        <v>38345435.463905796</v>
      </c>
      <c r="C45" s="3"/>
      <c r="D45" s="3">
        <v>10102551.130861999</v>
      </c>
      <c r="E45" s="3"/>
      <c r="F45" s="3">
        <v>10042319.530862</v>
      </c>
    </row>
    <row r="46" spans="1:6" x14ac:dyDescent="0.75">
      <c r="A46" s="35">
        <v>43435</v>
      </c>
      <c r="B46" s="3">
        <v>41001033.966352798</v>
      </c>
      <c r="C46" s="3"/>
      <c r="D46" s="3">
        <v>10964199.116593</v>
      </c>
      <c r="E46" s="3"/>
      <c r="F46" s="3">
        <v>10865889.016593</v>
      </c>
    </row>
    <row r="47" spans="1:6" x14ac:dyDescent="0.75">
      <c r="A47" s="35">
        <v>43800</v>
      </c>
      <c r="B47" s="3">
        <v>42681403.259513699</v>
      </c>
      <c r="C47" s="3"/>
      <c r="D47" s="3">
        <v>11500106.45207</v>
      </c>
      <c r="E47" s="3"/>
      <c r="F47" s="3">
        <v>11392174.652070001</v>
      </c>
    </row>
    <row r="48" spans="1:6" x14ac:dyDescent="0.75">
      <c r="A48" s="35">
        <v>44166</v>
      </c>
      <c r="B48" s="3">
        <v>42358682.978973597</v>
      </c>
      <c r="C48" s="3"/>
      <c r="D48" s="3">
        <v>11504819.244491</v>
      </c>
      <c r="E48" s="3"/>
      <c r="F48" s="3">
        <v>11418480.644491</v>
      </c>
    </row>
    <row r="49" spans="1:6" x14ac:dyDescent="0.75">
      <c r="A49" s="35">
        <v>44531</v>
      </c>
      <c r="B49" s="3">
        <v>46100281.931555703</v>
      </c>
      <c r="C49" s="3"/>
      <c r="D49" s="3">
        <v>12660213.6301578</v>
      </c>
      <c r="E49" s="3"/>
      <c r="F49" s="3">
        <v>12570585.8301578</v>
      </c>
    </row>
    <row r="50" spans="1:6" x14ac:dyDescent="0.75">
      <c r="A50" s="35">
        <v>44896</v>
      </c>
      <c r="B50" s="3">
        <v>52204436.962938897</v>
      </c>
      <c r="C50" s="3"/>
      <c r="D50" s="3">
        <v>14479961.9</v>
      </c>
      <c r="E50" s="3"/>
      <c r="F50" s="3">
        <v>14393802.4</v>
      </c>
    </row>
    <row r="51" spans="1:6" x14ac:dyDescent="0.75">
      <c r="A51" s="35">
        <v>45261</v>
      </c>
      <c r="B51" s="3">
        <v>54362521.198845401</v>
      </c>
      <c r="C51" s="3"/>
      <c r="D51" s="3">
        <v>15232602.199999999</v>
      </c>
      <c r="E51" s="3"/>
      <c r="F51" s="3">
        <v>15150627.699999999</v>
      </c>
    </row>
    <row r="52" spans="1:6" x14ac:dyDescent="0.75">
      <c r="A52" s="35">
        <v>45627</v>
      </c>
      <c r="B52" s="3">
        <v>57171002.431886598</v>
      </c>
      <c r="C52" s="3"/>
      <c r="D52" s="3">
        <v>16194305.2774575</v>
      </c>
      <c r="E52" s="3"/>
      <c r="F52" s="3">
        <v>16099571.477457499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53CE-2CEC-4A8F-A2C9-907570DB3B4E}">
  <dimension ref="A1:H470"/>
  <sheetViews>
    <sheetView workbookViewId="0">
      <pane xSplit="1" ySplit="5" topLeftCell="B456" activePane="bottomRight" state="frozen"/>
      <selection pane="topRight" activeCell="B1" sqref="B1"/>
      <selection pane="bottomLeft" activeCell="A6" sqref="A6"/>
      <selection pane="bottomRight" activeCell="H1" sqref="H1"/>
    </sheetView>
  </sheetViews>
  <sheetFormatPr defaultRowHeight="14.75" x14ac:dyDescent="0.75"/>
  <sheetData>
    <row r="1" spans="1:8" x14ac:dyDescent="0.75">
      <c r="A1" s="48" t="e">
        <f ca="1">CEIC.LINK("bccd43f9-4a5a-455a-93c6-90fee1e00bb0", "Series")</f>
        <v>#NAME?</v>
      </c>
      <c r="B1" s="42" t="s">
        <v>103</v>
      </c>
      <c r="C1" s="42" t="s">
        <v>102</v>
      </c>
      <c r="D1" s="42" t="s">
        <v>101</v>
      </c>
      <c r="E1" s="42" t="s">
        <v>100</v>
      </c>
      <c r="F1" s="42" t="s">
        <v>99</v>
      </c>
      <c r="G1" s="42" t="s">
        <v>98</v>
      </c>
      <c r="H1" s="42" t="s">
        <v>97</v>
      </c>
    </row>
    <row r="2" spans="1:8" x14ac:dyDescent="0.75">
      <c r="A2" s="42" t="s">
        <v>19</v>
      </c>
      <c r="B2" s="42" t="s">
        <v>20</v>
      </c>
      <c r="C2" s="42" t="s">
        <v>20</v>
      </c>
      <c r="D2" s="42" t="s">
        <v>20</v>
      </c>
      <c r="E2" s="42" t="s">
        <v>20</v>
      </c>
      <c r="F2" s="42" t="s">
        <v>20</v>
      </c>
      <c r="G2" s="42" t="s">
        <v>20</v>
      </c>
      <c r="H2" s="42" t="s">
        <v>20</v>
      </c>
    </row>
    <row r="3" spans="1:8" x14ac:dyDescent="0.75">
      <c r="A3" s="42" t="s">
        <v>21</v>
      </c>
      <c r="B3" s="42"/>
      <c r="C3" s="42"/>
      <c r="D3" s="42"/>
      <c r="E3" s="42"/>
      <c r="F3" s="42"/>
      <c r="G3" s="42"/>
      <c r="H3" s="42"/>
    </row>
    <row r="4" spans="1:8" x14ac:dyDescent="0.75">
      <c r="A4" s="42" t="s">
        <v>22</v>
      </c>
      <c r="B4" s="42" t="s">
        <v>96</v>
      </c>
      <c r="C4" s="42" t="s">
        <v>96</v>
      </c>
      <c r="D4" s="42" t="s">
        <v>96</v>
      </c>
      <c r="E4" s="42" t="s">
        <v>96</v>
      </c>
      <c r="F4" s="42" t="s">
        <v>96</v>
      </c>
      <c r="G4" s="42" t="s">
        <v>96</v>
      </c>
      <c r="H4" s="42" t="s">
        <v>96</v>
      </c>
    </row>
    <row r="5" spans="1:8" x14ac:dyDescent="0.75">
      <c r="A5" s="42" t="s">
        <v>24</v>
      </c>
      <c r="B5" s="42" t="s">
        <v>95</v>
      </c>
      <c r="C5" s="42" t="s">
        <v>94</v>
      </c>
      <c r="D5" s="42" t="s">
        <v>94</v>
      </c>
      <c r="E5" s="42" t="s">
        <v>94</v>
      </c>
      <c r="F5" s="42" t="s">
        <v>94</v>
      </c>
      <c r="G5" s="42" t="s">
        <v>93</v>
      </c>
      <c r="H5" s="42" t="s">
        <v>92</v>
      </c>
    </row>
    <row r="6" spans="1:8" x14ac:dyDescent="0.75">
      <c r="A6" s="42" t="s">
        <v>27</v>
      </c>
      <c r="B6" s="42" t="s">
        <v>90</v>
      </c>
      <c r="C6" s="42" t="s">
        <v>90</v>
      </c>
      <c r="D6" s="42" t="s">
        <v>90</v>
      </c>
      <c r="E6" s="42" t="s">
        <v>90</v>
      </c>
      <c r="F6" s="42" t="s">
        <v>90</v>
      </c>
      <c r="G6" s="42" t="s">
        <v>91</v>
      </c>
      <c r="H6" s="42" t="s">
        <v>90</v>
      </c>
    </row>
    <row r="7" spans="1:8" x14ac:dyDescent="0.75">
      <c r="A7" s="42" t="s">
        <v>29</v>
      </c>
      <c r="B7" s="42" t="s">
        <v>30</v>
      </c>
      <c r="C7" s="42" t="s">
        <v>30</v>
      </c>
      <c r="D7" s="42" t="s">
        <v>30</v>
      </c>
      <c r="E7" s="42" t="s">
        <v>30</v>
      </c>
      <c r="F7" s="42" t="s">
        <v>30</v>
      </c>
      <c r="G7" s="42" t="s">
        <v>30</v>
      </c>
      <c r="H7" s="42" t="s">
        <v>30</v>
      </c>
    </row>
    <row r="8" spans="1:8" x14ac:dyDescent="0.75">
      <c r="A8" s="44" t="s">
        <v>32</v>
      </c>
      <c r="B8" s="44" t="s">
        <v>89</v>
      </c>
      <c r="C8" s="44" t="s">
        <v>88</v>
      </c>
      <c r="D8" s="44" t="s">
        <v>87</v>
      </c>
      <c r="E8" s="44" t="s">
        <v>86</v>
      </c>
      <c r="F8" s="44" t="s">
        <v>85</v>
      </c>
      <c r="G8" s="44">
        <v>527158177</v>
      </c>
      <c r="H8" s="44" t="s">
        <v>84</v>
      </c>
    </row>
    <row r="9" spans="1:8" x14ac:dyDescent="0.75">
      <c r="A9" s="42" t="s">
        <v>38</v>
      </c>
      <c r="B9" s="42" t="s">
        <v>83</v>
      </c>
      <c r="C9" s="42" t="s">
        <v>82</v>
      </c>
      <c r="D9" s="42" t="s">
        <v>81</v>
      </c>
      <c r="E9" s="42" t="s">
        <v>80</v>
      </c>
      <c r="F9" s="42" t="s">
        <v>79</v>
      </c>
      <c r="G9" s="42" t="s">
        <v>78</v>
      </c>
      <c r="H9" s="42" t="s">
        <v>77</v>
      </c>
    </row>
    <row r="10" spans="1:8" x14ac:dyDescent="0.75">
      <c r="A10" s="42" t="s">
        <v>44</v>
      </c>
      <c r="B10" s="42"/>
      <c r="C10" s="42"/>
      <c r="D10" s="42"/>
      <c r="E10" s="42"/>
      <c r="F10" s="42"/>
      <c r="G10" s="42"/>
      <c r="H10" s="42"/>
    </row>
    <row r="11" spans="1:8" x14ac:dyDescent="0.75">
      <c r="A11" s="42" t="s">
        <v>45</v>
      </c>
      <c r="B11" s="42"/>
      <c r="C11" s="42"/>
      <c r="D11" s="42"/>
      <c r="E11" s="42"/>
      <c r="F11" s="42"/>
      <c r="G11" s="42"/>
      <c r="H11" s="42"/>
    </row>
    <row r="12" spans="1:8" x14ac:dyDescent="0.75">
      <c r="A12" s="42" t="s">
        <v>46</v>
      </c>
      <c r="B12" s="42"/>
      <c r="C12" s="42"/>
      <c r="D12" s="42"/>
      <c r="E12" s="42"/>
      <c r="F12" s="42"/>
      <c r="G12" s="42"/>
      <c r="H12" s="42"/>
    </row>
    <row r="13" spans="1:8" x14ac:dyDescent="0.75">
      <c r="A13" s="42" t="s">
        <v>47</v>
      </c>
      <c r="B13" s="47">
        <v>40179</v>
      </c>
      <c r="C13" s="47">
        <v>40179</v>
      </c>
      <c r="D13" s="47">
        <v>40179</v>
      </c>
      <c r="E13" s="47">
        <v>40179</v>
      </c>
      <c r="F13" s="47">
        <v>40179</v>
      </c>
      <c r="G13" s="47">
        <v>41426</v>
      </c>
      <c r="H13" s="47">
        <v>32540</v>
      </c>
    </row>
    <row r="14" spans="1:8" x14ac:dyDescent="0.75">
      <c r="A14" s="42" t="s">
        <v>48</v>
      </c>
      <c r="B14" s="47">
        <v>45992</v>
      </c>
      <c r="C14" s="47">
        <v>45962</v>
      </c>
      <c r="D14" s="47">
        <v>45962</v>
      </c>
      <c r="E14" s="47">
        <v>45962</v>
      </c>
      <c r="F14" s="47">
        <v>45962</v>
      </c>
      <c r="G14" s="47">
        <v>45992</v>
      </c>
      <c r="H14" s="47">
        <v>45992</v>
      </c>
    </row>
    <row r="15" spans="1:8" x14ac:dyDescent="0.75">
      <c r="A15" s="42" t="s">
        <v>49</v>
      </c>
      <c r="B15" s="46">
        <v>46034</v>
      </c>
      <c r="C15" s="46">
        <v>46034</v>
      </c>
      <c r="D15" s="46">
        <v>46034</v>
      </c>
      <c r="E15" s="46">
        <v>46034</v>
      </c>
      <c r="F15" s="46">
        <v>46034</v>
      </c>
      <c r="G15" s="46">
        <v>46024</v>
      </c>
      <c r="H15" s="46">
        <v>46024</v>
      </c>
    </row>
    <row r="16" spans="1:8" ht="44.25" x14ac:dyDescent="0.75">
      <c r="A16" s="45" t="s">
        <v>50</v>
      </c>
      <c r="B16" s="45" t="s">
        <v>76</v>
      </c>
      <c r="C16" s="45" t="s">
        <v>76</v>
      </c>
      <c r="D16" s="45" t="s">
        <v>76</v>
      </c>
      <c r="E16" s="45" t="s">
        <v>76</v>
      </c>
      <c r="F16" s="45" t="s">
        <v>76</v>
      </c>
      <c r="G16" s="45"/>
      <c r="H16" s="45"/>
    </row>
    <row r="17" spans="1:8" x14ac:dyDescent="0.75">
      <c r="A17" s="44" t="s">
        <v>53</v>
      </c>
      <c r="B17" s="44"/>
      <c r="C17" s="44"/>
      <c r="D17" s="44"/>
      <c r="E17" s="44"/>
      <c r="F17" s="44"/>
      <c r="G17" s="44"/>
      <c r="H17" s="44"/>
    </row>
    <row r="18" spans="1:8" x14ac:dyDescent="0.75">
      <c r="A18" s="43" t="s">
        <v>54</v>
      </c>
      <c r="B18" s="43">
        <v>183.49682890015629</v>
      </c>
      <c r="C18" s="43">
        <v>136.72543114219889</v>
      </c>
      <c r="D18" s="43">
        <v>138.73999070246069</v>
      </c>
      <c r="E18" s="43">
        <v>142.85581722047121</v>
      </c>
      <c r="F18" s="43">
        <v>142.1144963464921</v>
      </c>
      <c r="G18" s="43">
        <v>6012.8527615894036</v>
      </c>
      <c r="H18" s="43">
        <v>10.303700925507901</v>
      </c>
    </row>
    <row r="19" spans="1:8" x14ac:dyDescent="0.75">
      <c r="A19" s="43" t="s">
        <v>55</v>
      </c>
      <c r="B19" s="43">
        <v>1836.830635647013</v>
      </c>
      <c r="C19" s="43">
        <v>156.50979755789069</v>
      </c>
      <c r="D19" s="43">
        <v>187.64963279789259</v>
      </c>
      <c r="E19" s="43">
        <v>173.62730260160089</v>
      </c>
      <c r="F19" s="43">
        <v>260.35951411734789</v>
      </c>
      <c r="G19" s="43">
        <v>1002293.0084404229</v>
      </c>
      <c r="H19" s="43">
        <v>126.01229909467681</v>
      </c>
    </row>
    <row r="20" spans="1:8" x14ac:dyDescent="0.75">
      <c r="A20" s="43" t="s">
        <v>56</v>
      </c>
      <c r="B20" s="43">
        <v>42.858262163170039</v>
      </c>
      <c r="C20" s="43">
        <v>12.510387586237719</v>
      </c>
      <c r="D20" s="43">
        <v>13.698526665225449</v>
      </c>
      <c r="E20" s="43">
        <v>13.17677132690709</v>
      </c>
      <c r="F20" s="43">
        <v>16.135659705055382</v>
      </c>
      <c r="G20" s="43">
        <v>1001.145847736694</v>
      </c>
      <c r="H20" s="43">
        <v>11.22551999217305</v>
      </c>
    </row>
    <row r="21" spans="1:8" x14ac:dyDescent="0.75">
      <c r="A21" s="43" t="s">
        <v>57</v>
      </c>
      <c r="B21" s="43">
        <v>-0.76876905916840876</v>
      </c>
      <c r="C21" s="43">
        <v>0.29503499636901731</v>
      </c>
      <c r="D21" s="43">
        <v>0.1664895509853864</v>
      </c>
      <c r="E21" s="43">
        <v>0.29732955159753549</v>
      </c>
      <c r="F21" s="43">
        <v>0.41031025709445179</v>
      </c>
      <c r="G21" s="43">
        <v>0.1202282865096552</v>
      </c>
      <c r="H21" s="43">
        <v>3.8153464697885968</v>
      </c>
    </row>
    <row r="22" spans="1:8" x14ac:dyDescent="0.75">
      <c r="A22" s="43" t="s">
        <v>58</v>
      </c>
      <c r="B22" s="43">
        <v>-0.66819591326482097</v>
      </c>
      <c r="C22" s="43">
        <v>-0.79361936088146834</v>
      </c>
      <c r="D22" s="43">
        <v>-0.61343468404372592</v>
      </c>
      <c r="E22" s="43">
        <v>-0.45186313664725741</v>
      </c>
      <c r="F22" s="43">
        <v>-0.85176181238951942</v>
      </c>
      <c r="G22" s="43">
        <v>-0.70240379395475294</v>
      </c>
      <c r="H22" s="43">
        <v>16.17644461501958</v>
      </c>
    </row>
    <row r="23" spans="1:8" x14ac:dyDescent="0.75">
      <c r="A23" s="43" t="s">
        <v>59</v>
      </c>
      <c r="B23" s="43">
        <v>0.23356404805496639</v>
      </c>
      <c r="C23" s="43">
        <v>9.1500077796255089E-2</v>
      </c>
      <c r="D23" s="43">
        <v>9.8735242779445329E-2</v>
      </c>
      <c r="E23" s="43">
        <v>9.2238255209245071E-2</v>
      </c>
      <c r="F23" s="43">
        <v>0.11353985778983949</v>
      </c>
      <c r="G23" s="43">
        <v>0.16650097506662651</v>
      </c>
      <c r="H23" s="43">
        <v>1.089464850865681</v>
      </c>
    </row>
    <row r="24" spans="1:8" x14ac:dyDescent="0.75">
      <c r="A24" s="43" t="s">
        <v>60</v>
      </c>
      <c r="B24" s="43">
        <v>90.6</v>
      </c>
      <c r="C24" s="43">
        <v>112.45791246</v>
      </c>
      <c r="D24" s="43">
        <v>109.5890411</v>
      </c>
      <c r="E24" s="43">
        <v>112.70754947</v>
      </c>
      <c r="F24" s="43">
        <v>110.97754273</v>
      </c>
      <c r="G24" s="43">
        <v>4195.09</v>
      </c>
      <c r="H24" s="43">
        <v>0.40864</v>
      </c>
    </row>
    <row r="25" spans="1:8" x14ac:dyDescent="0.75">
      <c r="A25" s="43" t="s">
        <v>61</v>
      </c>
      <c r="B25" s="43">
        <v>249.78630355999999</v>
      </c>
      <c r="C25" s="43">
        <v>167.71356784</v>
      </c>
      <c r="D25" s="43">
        <v>170.6940874</v>
      </c>
      <c r="E25" s="43">
        <v>179.01233023</v>
      </c>
      <c r="F25" s="43">
        <v>177.81044706</v>
      </c>
      <c r="G25" s="43">
        <v>8646.9380000000001</v>
      </c>
      <c r="H25" s="43">
        <v>81.010000000000005</v>
      </c>
    </row>
    <row r="26" spans="1:8" x14ac:dyDescent="0.75">
      <c r="A26" s="43" t="s">
        <v>62</v>
      </c>
      <c r="B26" s="43">
        <v>198.39793553499999</v>
      </c>
      <c r="C26" s="43">
        <v>135.15406161999999</v>
      </c>
      <c r="D26" s="43">
        <v>137.43589743999999</v>
      </c>
      <c r="E26" s="43">
        <v>140.36468382000001</v>
      </c>
      <c r="F26" s="43">
        <v>137.87857074999999</v>
      </c>
      <c r="G26" s="43">
        <v>5995.62</v>
      </c>
      <c r="H26" s="43">
        <v>6.2885099999999996</v>
      </c>
    </row>
    <row r="27" spans="1:8" x14ac:dyDescent="0.75">
      <c r="A27" s="42" t="s">
        <v>63</v>
      </c>
      <c r="B27" s="42">
        <v>192</v>
      </c>
      <c r="C27" s="42">
        <v>191</v>
      </c>
      <c r="D27" s="42">
        <v>191</v>
      </c>
      <c r="E27" s="42">
        <v>191</v>
      </c>
      <c r="F27" s="42">
        <v>191</v>
      </c>
      <c r="G27" s="42">
        <v>151</v>
      </c>
      <c r="H27" s="42">
        <v>443</v>
      </c>
    </row>
    <row r="28" spans="1:8" x14ac:dyDescent="0.75">
      <c r="A28" s="1">
        <v>32540</v>
      </c>
      <c r="H28" s="2">
        <v>13.52</v>
      </c>
    </row>
    <row r="29" spans="1:8" x14ac:dyDescent="0.75">
      <c r="A29" s="1">
        <v>32568</v>
      </c>
      <c r="H29" s="2">
        <v>13.24</v>
      </c>
    </row>
    <row r="30" spans="1:8" x14ac:dyDescent="0.75">
      <c r="A30" s="1">
        <v>32599</v>
      </c>
      <c r="H30" s="2">
        <v>12.91</v>
      </c>
    </row>
    <row r="31" spans="1:8" x14ac:dyDescent="0.75">
      <c r="A31" s="1">
        <v>32629</v>
      </c>
      <c r="H31" s="2">
        <v>11.08</v>
      </c>
    </row>
    <row r="32" spans="1:8" x14ac:dyDescent="0.75">
      <c r="A32" s="1">
        <v>32660</v>
      </c>
      <c r="H32" s="2">
        <v>12.41</v>
      </c>
    </row>
    <row r="33" spans="1:8" x14ac:dyDescent="0.75">
      <c r="A33" s="1">
        <v>32690</v>
      </c>
      <c r="H33" s="2">
        <v>11.84</v>
      </c>
    </row>
    <row r="34" spans="1:8" x14ac:dyDescent="0.75">
      <c r="A34" s="1">
        <v>32721</v>
      </c>
      <c r="H34" s="2">
        <v>11.67</v>
      </c>
    </row>
    <row r="35" spans="1:8" x14ac:dyDescent="0.75">
      <c r="A35" s="1">
        <v>32752</v>
      </c>
      <c r="H35" s="2">
        <v>11.91</v>
      </c>
    </row>
    <row r="36" spans="1:8" x14ac:dyDescent="0.75">
      <c r="A36" s="1">
        <v>32782</v>
      </c>
      <c r="H36" s="2">
        <v>11.89</v>
      </c>
    </row>
    <row r="37" spans="1:8" x14ac:dyDescent="0.75">
      <c r="A37" s="1">
        <v>32813</v>
      </c>
      <c r="H37" s="2">
        <v>11.8</v>
      </c>
    </row>
    <row r="38" spans="1:8" x14ac:dyDescent="0.75">
      <c r="A38" s="1">
        <v>32843</v>
      </c>
      <c r="H38" s="2">
        <v>12.02</v>
      </c>
    </row>
    <row r="39" spans="1:8" x14ac:dyDescent="0.75">
      <c r="A39" s="1">
        <v>32874</v>
      </c>
      <c r="H39" s="2">
        <v>9.74</v>
      </c>
    </row>
    <row r="40" spans="1:8" x14ac:dyDescent="0.75">
      <c r="A40" s="1">
        <v>32905</v>
      </c>
      <c r="H40" s="2">
        <v>9.7200000000000006</v>
      </c>
    </row>
    <row r="41" spans="1:8" x14ac:dyDescent="0.75">
      <c r="A41" s="1">
        <v>32933</v>
      </c>
      <c r="H41" s="2">
        <v>10.119999999999999</v>
      </c>
    </row>
    <row r="42" spans="1:8" x14ac:dyDescent="0.75">
      <c r="A42" s="1">
        <v>32964</v>
      </c>
      <c r="H42" s="2">
        <v>11.16</v>
      </c>
    </row>
    <row r="43" spans="1:8" x14ac:dyDescent="0.75">
      <c r="A43" s="1">
        <v>32994</v>
      </c>
      <c r="H43" s="2">
        <v>10.71</v>
      </c>
    </row>
    <row r="44" spans="1:8" x14ac:dyDescent="0.75">
      <c r="A44" s="1">
        <v>33025</v>
      </c>
      <c r="H44" s="2">
        <v>14.5</v>
      </c>
    </row>
    <row r="45" spans="1:8" x14ac:dyDescent="0.75">
      <c r="A45" s="1">
        <v>33055</v>
      </c>
      <c r="H45" s="2">
        <v>16.87</v>
      </c>
    </row>
    <row r="46" spans="1:8" x14ac:dyDescent="0.75">
      <c r="A46" s="1">
        <v>33086</v>
      </c>
      <c r="H46" s="2">
        <v>16.440000000000001</v>
      </c>
    </row>
    <row r="47" spans="1:8" x14ac:dyDescent="0.75">
      <c r="A47" s="1">
        <v>33117</v>
      </c>
      <c r="H47" s="2">
        <v>13.67</v>
      </c>
    </row>
    <row r="48" spans="1:8" x14ac:dyDescent="0.75">
      <c r="A48" s="1">
        <v>33147</v>
      </c>
      <c r="H48" s="2">
        <v>17.05</v>
      </c>
    </row>
    <row r="49" spans="1:8" x14ac:dyDescent="0.75">
      <c r="A49" s="1">
        <v>33178</v>
      </c>
      <c r="H49" s="2">
        <v>15.58</v>
      </c>
    </row>
    <row r="50" spans="1:8" x14ac:dyDescent="0.75">
      <c r="A50" s="1">
        <v>33208</v>
      </c>
      <c r="H50" s="2">
        <v>21.2</v>
      </c>
    </row>
    <row r="51" spans="1:8" x14ac:dyDescent="0.75">
      <c r="A51" s="1">
        <v>33239</v>
      </c>
      <c r="H51" s="2">
        <v>17.61</v>
      </c>
    </row>
    <row r="52" spans="1:8" x14ac:dyDescent="0.75">
      <c r="A52" s="1">
        <v>33270</v>
      </c>
      <c r="H52" s="2">
        <v>20.38</v>
      </c>
    </row>
    <row r="53" spans="1:8" x14ac:dyDescent="0.75">
      <c r="A53" s="1">
        <v>33298</v>
      </c>
      <c r="H53" s="2">
        <v>26.9</v>
      </c>
    </row>
    <row r="54" spans="1:8" x14ac:dyDescent="0.75">
      <c r="A54" s="1">
        <v>33329</v>
      </c>
      <c r="H54" s="2">
        <v>17.73</v>
      </c>
    </row>
    <row r="55" spans="1:8" x14ac:dyDescent="0.75">
      <c r="A55" s="1">
        <v>33359</v>
      </c>
      <c r="H55" s="2">
        <v>11.28</v>
      </c>
    </row>
    <row r="56" spans="1:8" x14ac:dyDescent="0.75">
      <c r="A56" s="1">
        <v>33390</v>
      </c>
      <c r="H56" s="2">
        <v>11.29</v>
      </c>
    </row>
    <row r="57" spans="1:8" x14ac:dyDescent="0.75">
      <c r="A57" s="1">
        <v>33420</v>
      </c>
      <c r="H57" s="2">
        <v>11.51</v>
      </c>
    </row>
    <row r="58" spans="1:8" x14ac:dyDescent="0.75">
      <c r="A58" s="1">
        <v>33451</v>
      </c>
      <c r="H58" s="2">
        <v>12.16</v>
      </c>
    </row>
    <row r="59" spans="1:8" x14ac:dyDescent="0.75">
      <c r="A59" s="1">
        <v>33482</v>
      </c>
      <c r="H59" s="2">
        <v>12.72</v>
      </c>
    </row>
    <row r="60" spans="1:8" x14ac:dyDescent="0.75">
      <c r="A60" s="1">
        <v>33512</v>
      </c>
      <c r="H60" s="2">
        <v>12.2</v>
      </c>
    </row>
    <row r="61" spans="1:8" x14ac:dyDescent="0.75">
      <c r="A61" s="1">
        <v>33543</v>
      </c>
      <c r="H61" s="2">
        <v>12.68</v>
      </c>
    </row>
    <row r="62" spans="1:8" x14ac:dyDescent="0.75">
      <c r="A62" s="1">
        <v>33573</v>
      </c>
      <c r="H62" s="2">
        <v>12.43</v>
      </c>
    </row>
    <row r="63" spans="1:8" x14ac:dyDescent="0.75">
      <c r="A63" s="1">
        <v>33604</v>
      </c>
      <c r="H63" s="2">
        <v>12.88</v>
      </c>
    </row>
    <row r="64" spans="1:8" x14ac:dyDescent="0.75">
      <c r="A64" s="1">
        <v>33635</v>
      </c>
      <c r="H64" s="2">
        <v>12.58</v>
      </c>
    </row>
    <row r="65" spans="1:8" x14ac:dyDescent="0.75">
      <c r="A65" s="1">
        <v>33664</v>
      </c>
      <c r="H65" s="2">
        <v>12.84</v>
      </c>
    </row>
    <row r="66" spans="1:8" x14ac:dyDescent="0.75">
      <c r="A66" s="1">
        <v>33695</v>
      </c>
      <c r="H66" s="2">
        <v>12.16</v>
      </c>
    </row>
    <row r="67" spans="1:8" x14ac:dyDescent="0.75">
      <c r="A67" s="1">
        <v>33725</v>
      </c>
      <c r="H67" s="2">
        <v>11.9</v>
      </c>
    </row>
    <row r="68" spans="1:8" x14ac:dyDescent="0.75">
      <c r="A68" s="1">
        <v>33756</v>
      </c>
      <c r="H68" s="2">
        <v>11.87</v>
      </c>
    </row>
    <row r="69" spans="1:8" x14ac:dyDescent="0.75">
      <c r="A69" s="1">
        <v>33786</v>
      </c>
      <c r="H69" s="2">
        <v>12.06</v>
      </c>
    </row>
    <row r="70" spans="1:8" x14ac:dyDescent="0.75">
      <c r="A70" s="1">
        <v>33817</v>
      </c>
      <c r="H70" s="2">
        <v>11.52</v>
      </c>
    </row>
    <row r="71" spans="1:8" x14ac:dyDescent="0.75">
      <c r="A71" s="1">
        <v>33848</v>
      </c>
      <c r="H71" s="2">
        <v>11.37</v>
      </c>
    </row>
    <row r="72" spans="1:8" x14ac:dyDescent="0.75">
      <c r="A72" s="1">
        <v>33878</v>
      </c>
      <c r="H72" s="2">
        <v>11.65</v>
      </c>
    </row>
    <row r="73" spans="1:8" x14ac:dyDescent="0.75">
      <c r="A73" s="1">
        <v>33909</v>
      </c>
      <c r="H73" s="2">
        <v>11.4</v>
      </c>
    </row>
    <row r="74" spans="1:8" x14ac:dyDescent="0.75">
      <c r="A74" s="1">
        <v>33939</v>
      </c>
      <c r="H74" s="2">
        <v>11.17</v>
      </c>
    </row>
    <row r="75" spans="1:8" x14ac:dyDescent="0.75">
      <c r="A75" s="1">
        <v>33970</v>
      </c>
      <c r="H75" s="2">
        <v>11.49</v>
      </c>
    </row>
    <row r="76" spans="1:8" x14ac:dyDescent="0.75">
      <c r="A76" s="1">
        <v>34001</v>
      </c>
      <c r="H76" s="2">
        <v>10.78</v>
      </c>
    </row>
    <row r="77" spans="1:8" x14ac:dyDescent="0.75">
      <c r="A77" s="1">
        <v>34029</v>
      </c>
      <c r="H77" s="2">
        <v>11.35</v>
      </c>
    </row>
    <row r="78" spans="1:8" x14ac:dyDescent="0.75">
      <c r="A78" s="1">
        <v>34060</v>
      </c>
      <c r="H78" s="2">
        <v>10.72</v>
      </c>
    </row>
    <row r="79" spans="1:8" x14ac:dyDescent="0.75">
      <c r="A79" s="1">
        <v>34090</v>
      </c>
      <c r="H79" s="2">
        <v>11.04</v>
      </c>
    </row>
    <row r="80" spans="1:8" x14ac:dyDescent="0.75">
      <c r="A80" s="1">
        <v>34121</v>
      </c>
      <c r="H80" s="2">
        <v>8.17</v>
      </c>
    </row>
    <row r="81" spans="1:8" x14ac:dyDescent="0.75">
      <c r="A81" s="1">
        <v>34151</v>
      </c>
      <c r="H81" s="2">
        <v>6.68</v>
      </c>
    </row>
    <row r="82" spans="1:8" x14ac:dyDescent="0.75">
      <c r="A82" s="1">
        <v>34182</v>
      </c>
      <c r="H82" s="2">
        <v>5.68</v>
      </c>
    </row>
    <row r="83" spans="1:8" x14ac:dyDescent="0.75">
      <c r="A83" s="1">
        <v>34213</v>
      </c>
      <c r="H83" s="2">
        <v>7.7</v>
      </c>
    </row>
    <row r="84" spans="1:8" x14ac:dyDescent="0.75">
      <c r="A84" s="1">
        <v>34243</v>
      </c>
      <c r="H84" s="2">
        <v>7.06</v>
      </c>
    </row>
    <row r="85" spans="1:8" x14ac:dyDescent="0.75">
      <c r="A85" s="1">
        <v>34274</v>
      </c>
      <c r="H85" s="2">
        <v>7.09</v>
      </c>
    </row>
    <row r="86" spans="1:8" x14ac:dyDescent="0.75">
      <c r="A86" s="1">
        <v>34304</v>
      </c>
      <c r="H86" s="2">
        <v>6.13</v>
      </c>
    </row>
    <row r="87" spans="1:8" x14ac:dyDescent="0.75">
      <c r="A87" s="1">
        <v>34335</v>
      </c>
      <c r="H87" s="2">
        <v>7.13</v>
      </c>
    </row>
    <row r="88" spans="1:8" x14ac:dyDescent="0.75">
      <c r="A88" s="1">
        <v>34366</v>
      </c>
      <c r="H88" s="2">
        <v>7.57</v>
      </c>
    </row>
    <row r="89" spans="1:8" x14ac:dyDescent="0.75">
      <c r="A89" s="1">
        <v>34394</v>
      </c>
      <c r="H89" s="2">
        <v>7.07</v>
      </c>
    </row>
    <row r="90" spans="1:8" x14ac:dyDescent="0.75">
      <c r="A90" s="1">
        <v>34425</v>
      </c>
      <c r="H90" s="2">
        <v>9.4600000000000009</v>
      </c>
    </row>
    <row r="91" spans="1:8" x14ac:dyDescent="0.75">
      <c r="A91" s="1">
        <v>34455</v>
      </c>
      <c r="H91" s="2">
        <v>9.14</v>
      </c>
    </row>
    <row r="92" spans="1:8" x14ac:dyDescent="0.75">
      <c r="A92" s="1">
        <v>34486</v>
      </c>
      <c r="H92" s="2">
        <v>9.33</v>
      </c>
    </row>
    <row r="93" spans="1:8" x14ac:dyDescent="0.75">
      <c r="A93" s="1">
        <v>34516</v>
      </c>
      <c r="H93" s="2">
        <v>10.58</v>
      </c>
    </row>
    <row r="94" spans="1:8" x14ac:dyDescent="0.75">
      <c r="A94" s="1">
        <v>34547</v>
      </c>
      <c r="H94" s="2">
        <v>10.63</v>
      </c>
    </row>
    <row r="95" spans="1:8" x14ac:dyDescent="0.75">
      <c r="A95" s="1">
        <v>34578</v>
      </c>
      <c r="H95" s="2">
        <v>11.06</v>
      </c>
    </row>
    <row r="96" spans="1:8" x14ac:dyDescent="0.75">
      <c r="A96" s="1">
        <v>34608</v>
      </c>
      <c r="H96" s="2">
        <v>11.48</v>
      </c>
    </row>
    <row r="97" spans="1:8" x14ac:dyDescent="0.75">
      <c r="A97" s="1">
        <v>34639</v>
      </c>
      <c r="H97" s="2">
        <v>11.45</v>
      </c>
    </row>
    <row r="98" spans="1:8" x14ac:dyDescent="0.75">
      <c r="A98" s="1">
        <v>34669</v>
      </c>
      <c r="H98" s="2">
        <v>11.93</v>
      </c>
    </row>
    <row r="99" spans="1:8" x14ac:dyDescent="0.75">
      <c r="A99" s="1">
        <v>34700</v>
      </c>
      <c r="H99" s="2">
        <v>11.78</v>
      </c>
    </row>
    <row r="100" spans="1:8" x14ac:dyDescent="0.75">
      <c r="A100" s="1">
        <v>34731</v>
      </c>
      <c r="H100" s="2">
        <v>13.45</v>
      </c>
    </row>
    <row r="101" spans="1:8" x14ac:dyDescent="0.75">
      <c r="A101" s="1">
        <v>34759</v>
      </c>
      <c r="H101" s="2">
        <v>12.94</v>
      </c>
    </row>
    <row r="102" spans="1:8" x14ac:dyDescent="0.75">
      <c r="A102" s="1">
        <v>34790</v>
      </c>
      <c r="H102" s="2">
        <v>15.27</v>
      </c>
    </row>
    <row r="103" spans="1:8" x14ac:dyDescent="0.75">
      <c r="A103" s="1">
        <v>34820</v>
      </c>
      <c r="H103" s="2">
        <v>15.33</v>
      </c>
    </row>
    <row r="104" spans="1:8" x14ac:dyDescent="0.75">
      <c r="A104" s="1">
        <v>34851</v>
      </c>
      <c r="H104" s="2">
        <v>14.78</v>
      </c>
    </row>
    <row r="105" spans="1:8" x14ac:dyDescent="0.75">
      <c r="A105" s="1">
        <v>34881</v>
      </c>
      <c r="H105" s="2">
        <v>13.51</v>
      </c>
    </row>
    <row r="106" spans="1:8" x14ac:dyDescent="0.75">
      <c r="A106" s="1">
        <v>34912</v>
      </c>
      <c r="H106" s="2">
        <v>11.84</v>
      </c>
    </row>
    <row r="107" spans="1:8" x14ac:dyDescent="0.75">
      <c r="A107" s="1">
        <v>34943</v>
      </c>
      <c r="H107" s="2">
        <v>13.84</v>
      </c>
    </row>
    <row r="108" spans="1:8" x14ac:dyDescent="0.75">
      <c r="A108" s="1">
        <v>34973</v>
      </c>
      <c r="H108" s="2">
        <v>13.65</v>
      </c>
    </row>
    <row r="109" spans="1:8" x14ac:dyDescent="0.75">
      <c r="A109" s="1">
        <v>35004</v>
      </c>
      <c r="H109" s="2">
        <v>13.13</v>
      </c>
    </row>
    <row r="110" spans="1:8" x14ac:dyDescent="0.75">
      <c r="A110" s="1">
        <v>35034</v>
      </c>
      <c r="H110" s="2">
        <v>14.14</v>
      </c>
    </row>
    <row r="111" spans="1:8" x14ac:dyDescent="0.75">
      <c r="A111" s="1">
        <v>35065</v>
      </c>
      <c r="H111" s="2">
        <v>13.08</v>
      </c>
    </row>
    <row r="112" spans="1:8" x14ac:dyDescent="0.75">
      <c r="A112" s="1">
        <v>35096</v>
      </c>
      <c r="H112" s="2">
        <v>13.21</v>
      </c>
    </row>
    <row r="113" spans="1:8" x14ac:dyDescent="0.75">
      <c r="A113" s="1">
        <v>35125</v>
      </c>
      <c r="H113" s="2">
        <v>12.66</v>
      </c>
    </row>
    <row r="114" spans="1:8" x14ac:dyDescent="0.75">
      <c r="A114" s="1">
        <v>35156</v>
      </c>
      <c r="H114" s="2">
        <v>14.96</v>
      </c>
    </row>
    <row r="115" spans="1:8" x14ac:dyDescent="0.75">
      <c r="A115" s="1">
        <v>35186</v>
      </c>
      <c r="H115" s="2">
        <v>14.73</v>
      </c>
    </row>
    <row r="116" spans="1:8" x14ac:dyDescent="0.75">
      <c r="A116" s="1">
        <v>35217</v>
      </c>
      <c r="H116" s="2">
        <v>13.65</v>
      </c>
    </row>
    <row r="117" spans="1:8" x14ac:dyDescent="0.75">
      <c r="A117" s="1">
        <v>35247</v>
      </c>
      <c r="H117" s="2">
        <v>14.15</v>
      </c>
    </row>
    <row r="118" spans="1:8" x14ac:dyDescent="0.75">
      <c r="A118" s="1">
        <v>35278</v>
      </c>
      <c r="H118" s="2">
        <v>15.39</v>
      </c>
    </row>
    <row r="119" spans="1:8" x14ac:dyDescent="0.75">
      <c r="A119" s="1">
        <v>35309</v>
      </c>
      <c r="H119" s="2">
        <v>14.95</v>
      </c>
    </row>
    <row r="120" spans="1:8" x14ac:dyDescent="0.75">
      <c r="A120" s="1">
        <v>35339</v>
      </c>
      <c r="H120" s="2">
        <v>14.96</v>
      </c>
    </row>
    <row r="121" spans="1:8" x14ac:dyDescent="0.75">
      <c r="A121" s="1">
        <v>35370</v>
      </c>
      <c r="H121" s="2">
        <v>12.7</v>
      </c>
    </row>
    <row r="122" spans="1:8" x14ac:dyDescent="0.75">
      <c r="A122" s="1">
        <v>35400</v>
      </c>
      <c r="H122" s="2">
        <v>13.04</v>
      </c>
    </row>
    <row r="123" spans="1:8" x14ac:dyDescent="0.75">
      <c r="A123" s="1">
        <v>35431</v>
      </c>
      <c r="H123" s="2">
        <v>12.85</v>
      </c>
    </row>
    <row r="124" spans="1:8" x14ac:dyDescent="0.75">
      <c r="A124" s="1">
        <v>35462</v>
      </c>
      <c r="H124" s="2">
        <v>12.66</v>
      </c>
    </row>
    <row r="125" spans="1:8" x14ac:dyDescent="0.75">
      <c r="A125" s="1">
        <v>35490</v>
      </c>
      <c r="H125" s="2">
        <v>10.88</v>
      </c>
    </row>
    <row r="126" spans="1:8" x14ac:dyDescent="0.75">
      <c r="A126" s="1">
        <v>35521</v>
      </c>
      <c r="H126" s="2">
        <v>13.59</v>
      </c>
    </row>
    <row r="127" spans="1:8" x14ac:dyDescent="0.75">
      <c r="A127" s="1">
        <v>35551</v>
      </c>
      <c r="H127" s="2">
        <v>13.48</v>
      </c>
    </row>
    <row r="128" spans="1:8" x14ac:dyDescent="0.75">
      <c r="A128" s="1">
        <v>35582</v>
      </c>
      <c r="H128" s="2">
        <v>13.67</v>
      </c>
    </row>
    <row r="129" spans="1:8" x14ac:dyDescent="0.75">
      <c r="A129" s="1">
        <v>35612</v>
      </c>
      <c r="H129" s="2">
        <v>15.87</v>
      </c>
    </row>
    <row r="130" spans="1:8" x14ac:dyDescent="0.75">
      <c r="A130" s="1">
        <v>35643</v>
      </c>
      <c r="H130" s="2">
        <v>65.02</v>
      </c>
    </row>
    <row r="131" spans="1:8" x14ac:dyDescent="0.75">
      <c r="A131" s="1">
        <v>35674</v>
      </c>
      <c r="H131" s="2">
        <v>52.61</v>
      </c>
    </row>
    <row r="132" spans="1:8" x14ac:dyDescent="0.75">
      <c r="A132" s="1">
        <v>35704</v>
      </c>
      <c r="H132" s="2">
        <v>40.340000000000003</v>
      </c>
    </row>
    <row r="133" spans="1:8" x14ac:dyDescent="0.75">
      <c r="A133" s="1">
        <v>35735</v>
      </c>
      <c r="H133" s="2">
        <v>42.15</v>
      </c>
    </row>
    <row r="134" spans="1:8" x14ac:dyDescent="0.75">
      <c r="A134" s="1">
        <v>35765</v>
      </c>
      <c r="H134" s="2">
        <v>40.67</v>
      </c>
    </row>
    <row r="135" spans="1:8" x14ac:dyDescent="0.75">
      <c r="A135" s="1">
        <v>35796</v>
      </c>
      <c r="H135" s="2">
        <v>57.18</v>
      </c>
    </row>
    <row r="136" spans="1:8" x14ac:dyDescent="0.75">
      <c r="A136" s="1">
        <v>35827</v>
      </c>
      <c r="H136" s="2">
        <v>64.81</v>
      </c>
    </row>
    <row r="137" spans="1:8" x14ac:dyDescent="0.75">
      <c r="A137" s="1">
        <v>35855</v>
      </c>
      <c r="H137" s="2">
        <v>51.76</v>
      </c>
    </row>
    <row r="138" spans="1:8" x14ac:dyDescent="0.75">
      <c r="A138" s="1">
        <v>35886</v>
      </c>
      <c r="H138" s="2">
        <v>70.8</v>
      </c>
    </row>
    <row r="139" spans="1:8" x14ac:dyDescent="0.75">
      <c r="A139" s="1">
        <v>35916</v>
      </c>
      <c r="H139" s="2">
        <v>63.54</v>
      </c>
    </row>
    <row r="140" spans="1:8" x14ac:dyDescent="0.75">
      <c r="A140" s="1">
        <v>35947</v>
      </c>
      <c r="H140" s="2">
        <v>64.59</v>
      </c>
    </row>
    <row r="141" spans="1:8" x14ac:dyDescent="0.75">
      <c r="A141" s="1">
        <v>35977</v>
      </c>
      <c r="H141" s="2">
        <v>75.319999999999993</v>
      </c>
    </row>
    <row r="142" spans="1:8" x14ac:dyDescent="0.75">
      <c r="A142" s="1">
        <v>36008</v>
      </c>
      <c r="H142" s="2">
        <v>81.010000000000005</v>
      </c>
    </row>
    <row r="143" spans="1:8" x14ac:dyDescent="0.75">
      <c r="A143" s="1">
        <v>36039</v>
      </c>
      <c r="H143" s="2">
        <v>66.209999999999994</v>
      </c>
    </row>
    <row r="144" spans="1:8" x14ac:dyDescent="0.75">
      <c r="A144" s="1">
        <v>36069</v>
      </c>
      <c r="H144" s="2">
        <v>59.35</v>
      </c>
    </row>
    <row r="145" spans="1:8" x14ac:dyDescent="0.75">
      <c r="A145" s="1">
        <v>36100</v>
      </c>
      <c r="H145" s="2">
        <v>65.489999999999995</v>
      </c>
    </row>
    <row r="146" spans="1:8" x14ac:dyDescent="0.75">
      <c r="A146" s="1">
        <v>36130</v>
      </c>
      <c r="H146" s="2">
        <v>33.44</v>
      </c>
    </row>
    <row r="147" spans="1:8" x14ac:dyDescent="0.75">
      <c r="A147" s="1">
        <v>36161</v>
      </c>
      <c r="H147" s="2">
        <v>37.92</v>
      </c>
    </row>
    <row r="148" spans="1:8" x14ac:dyDescent="0.75">
      <c r="A148" s="1">
        <v>36192</v>
      </c>
      <c r="H148" s="2">
        <v>39.97</v>
      </c>
    </row>
    <row r="149" spans="1:8" x14ac:dyDescent="0.75">
      <c r="A149" s="1">
        <v>36220</v>
      </c>
      <c r="H149" s="2">
        <v>41.98</v>
      </c>
    </row>
    <row r="150" spans="1:8" x14ac:dyDescent="0.75">
      <c r="A150" s="1">
        <v>36251</v>
      </c>
      <c r="H150" s="2">
        <v>35.54</v>
      </c>
    </row>
    <row r="151" spans="1:8" x14ac:dyDescent="0.75">
      <c r="A151" s="1">
        <v>36281</v>
      </c>
      <c r="H151" s="2">
        <v>28.76</v>
      </c>
    </row>
    <row r="152" spans="1:8" x14ac:dyDescent="0.75">
      <c r="A152" s="1">
        <v>36312</v>
      </c>
      <c r="H152" s="2">
        <v>22.55</v>
      </c>
    </row>
    <row r="153" spans="1:8" x14ac:dyDescent="0.75">
      <c r="A153" s="1">
        <v>36342</v>
      </c>
      <c r="H153" s="2">
        <v>14.84</v>
      </c>
    </row>
    <row r="154" spans="1:8" x14ac:dyDescent="0.75">
      <c r="A154" s="1">
        <v>36373</v>
      </c>
      <c r="H154" s="2">
        <v>12.45</v>
      </c>
    </row>
    <row r="155" spans="1:8" x14ac:dyDescent="0.75">
      <c r="A155" s="1">
        <v>36404</v>
      </c>
      <c r="H155" s="2">
        <v>12.34</v>
      </c>
    </row>
    <row r="156" spans="1:8" x14ac:dyDescent="0.75">
      <c r="A156" s="1">
        <v>36434</v>
      </c>
      <c r="H156" s="2">
        <v>12.32</v>
      </c>
    </row>
    <row r="157" spans="1:8" x14ac:dyDescent="0.75">
      <c r="A157" s="1">
        <v>36465</v>
      </c>
      <c r="H157" s="2">
        <v>12.28</v>
      </c>
    </row>
    <row r="158" spans="1:8" x14ac:dyDescent="0.75">
      <c r="A158" s="1">
        <v>36495</v>
      </c>
      <c r="H158" s="2">
        <v>12.06</v>
      </c>
    </row>
    <row r="159" spans="1:8" x14ac:dyDescent="0.75">
      <c r="A159" s="1">
        <v>36526</v>
      </c>
      <c r="H159" s="2">
        <v>9.58</v>
      </c>
    </row>
    <row r="160" spans="1:8" x14ac:dyDescent="0.75">
      <c r="A160" s="1">
        <v>36557</v>
      </c>
      <c r="H160" s="2">
        <v>9.39</v>
      </c>
    </row>
    <row r="161" spans="1:8" x14ac:dyDescent="0.75">
      <c r="A161" s="1">
        <v>36586</v>
      </c>
      <c r="H161" s="2">
        <v>9.42</v>
      </c>
    </row>
    <row r="162" spans="1:8" x14ac:dyDescent="0.75">
      <c r="A162" s="1">
        <v>36617</v>
      </c>
      <c r="H162" s="2">
        <v>9.49</v>
      </c>
    </row>
    <row r="163" spans="1:8" x14ac:dyDescent="0.75">
      <c r="A163" s="1">
        <v>36647</v>
      </c>
      <c r="H163" s="2">
        <v>9.8800000000000008</v>
      </c>
    </row>
    <row r="164" spans="1:8" x14ac:dyDescent="0.75">
      <c r="A164" s="1">
        <v>36678</v>
      </c>
      <c r="H164" s="2">
        <v>11.12</v>
      </c>
    </row>
    <row r="165" spans="1:8" x14ac:dyDescent="0.75">
      <c r="A165" s="1">
        <v>36708</v>
      </c>
      <c r="H165" s="2">
        <v>10.71</v>
      </c>
    </row>
    <row r="166" spans="1:8" x14ac:dyDescent="0.75">
      <c r="A166" s="1">
        <v>36739</v>
      </c>
      <c r="H166" s="2">
        <v>10.31</v>
      </c>
    </row>
    <row r="167" spans="1:8" x14ac:dyDescent="0.75">
      <c r="A167" s="1">
        <v>36770</v>
      </c>
      <c r="H167" s="2">
        <v>10.62</v>
      </c>
    </row>
    <row r="168" spans="1:8" x14ac:dyDescent="0.75">
      <c r="A168" s="1">
        <v>36800</v>
      </c>
      <c r="H168" s="2">
        <v>10.85</v>
      </c>
    </row>
    <row r="169" spans="1:8" x14ac:dyDescent="0.75">
      <c r="A169" s="1">
        <v>36831</v>
      </c>
      <c r="H169" s="2">
        <v>11.07</v>
      </c>
    </row>
    <row r="170" spans="1:8" x14ac:dyDescent="0.75">
      <c r="A170" s="1">
        <v>36861</v>
      </c>
      <c r="H170" s="2">
        <v>11.41</v>
      </c>
    </row>
    <row r="171" spans="1:8" x14ac:dyDescent="0.75">
      <c r="A171" s="1">
        <v>36892</v>
      </c>
      <c r="H171" s="2">
        <v>11.85</v>
      </c>
    </row>
    <row r="172" spans="1:8" x14ac:dyDescent="0.75">
      <c r="A172" s="1">
        <v>36923</v>
      </c>
      <c r="H172" s="2">
        <v>22.06</v>
      </c>
    </row>
    <row r="173" spans="1:8" x14ac:dyDescent="0.75">
      <c r="A173" s="1">
        <v>36951</v>
      </c>
      <c r="H173" s="2">
        <v>12.73</v>
      </c>
    </row>
    <row r="174" spans="1:8" x14ac:dyDescent="0.75">
      <c r="A174" s="1">
        <v>36982</v>
      </c>
      <c r="H174" s="2">
        <v>13.15</v>
      </c>
    </row>
    <row r="175" spans="1:8" x14ac:dyDescent="0.75">
      <c r="A175" s="1">
        <v>37012</v>
      </c>
      <c r="H175" s="2">
        <v>13.98</v>
      </c>
    </row>
    <row r="176" spans="1:8" x14ac:dyDescent="0.75">
      <c r="A176" s="1">
        <v>37043</v>
      </c>
      <c r="H176" s="2">
        <v>13.95</v>
      </c>
    </row>
    <row r="177" spans="1:8" x14ac:dyDescent="0.75">
      <c r="A177" s="1">
        <v>37073</v>
      </c>
      <c r="H177" s="2">
        <v>15.76</v>
      </c>
    </row>
    <row r="178" spans="1:8" x14ac:dyDescent="0.75">
      <c r="A178" s="1">
        <v>37104</v>
      </c>
      <c r="H178" s="2">
        <v>14.88</v>
      </c>
    </row>
    <row r="179" spans="1:8" x14ac:dyDescent="0.75">
      <c r="A179" s="1">
        <v>37135</v>
      </c>
      <c r="H179" s="2">
        <v>15.47</v>
      </c>
    </row>
    <row r="180" spans="1:8" x14ac:dyDescent="0.75">
      <c r="A180" s="1">
        <v>37165</v>
      </c>
      <c r="H180" s="2">
        <v>15.38</v>
      </c>
    </row>
    <row r="181" spans="1:8" x14ac:dyDescent="0.75">
      <c r="A181" s="1">
        <v>37196</v>
      </c>
      <c r="H181" s="2">
        <v>15.64</v>
      </c>
    </row>
    <row r="182" spans="1:8" x14ac:dyDescent="0.75">
      <c r="A182" s="1">
        <v>37226</v>
      </c>
      <c r="H182" s="2">
        <v>15.66</v>
      </c>
    </row>
    <row r="183" spans="1:8" x14ac:dyDescent="0.75">
      <c r="A183" s="1">
        <v>37257</v>
      </c>
      <c r="H183" s="2">
        <v>19.816569999999999</v>
      </c>
    </row>
    <row r="184" spans="1:8" x14ac:dyDescent="0.75">
      <c r="A184" s="1">
        <v>37288</v>
      </c>
      <c r="H184" s="2">
        <v>15.914960000000001</v>
      </c>
    </row>
    <row r="185" spans="1:8" x14ac:dyDescent="0.75">
      <c r="A185" s="1">
        <v>37316</v>
      </c>
      <c r="H185" s="2">
        <v>15.4114</v>
      </c>
    </row>
    <row r="186" spans="1:8" x14ac:dyDescent="0.75">
      <c r="A186" s="1">
        <v>37347</v>
      </c>
      <c r="H186" s="2">
        <v>15.379189999999999</v>
      </c>
    </row>
    <row r="187" spans="1:8" x14ac:dyDescent="0.75">
      <c r="A187" s="1">
        <v>37377</v>
      </c>
      <c r="H187" s="2">
        <v>15.018319999999999</v>
      </c>
    </row>
    <row r="188" spans="1:8" x14ac:dyDescent="0.75">
      <c r="A188" s="1">
        <v>37408</v>
      </c>
      <c r="H188" s="2">
        <v>14.469110000000001</v>
      </c>
    </row>
    <row r="189" spans="1:8" x14ac:dyDescent="0.75">
      <c r="A189" s="1">
        <v>37438</v>
      </c>
      <c r="H189" s="2">
        <v>14.19908</v>
      </c>
    </row>
    <row r="190" spans="1:8" x14ac:dyDescent="0.75">
      <c r="A190" s="1">
        <v>37469</v>
      </c>
      <c r="H190" s="2">
        <v>12.805440000000001</v>
      </c>
    </row>
    <row r="191" spans="1:8" x14ac:dyDescent="0.75">
      <c r="A191" s="1">
        <v>37500</v>
      </c>
      <c r="H191" s="2">
        <v>10.89208</v>
      </c>
    </row>
    <row r="192" spans="1:8" x14ac:dyDescent="0.75">
      <c r="A192" s="1">
        <v>37530</v>
      </c>
      <c r="H192" s="2">
        <v>8.4944299999999995</v>
      </c>
    </row>
    <row r="193" spans="1:8" x14ac:dyDescent="0.75">
      <c r="A193" s="1">
        <v>37561</v>
      </c>
      <c r="H193" s="2">
        <v>11.104290000000001</v>
      </c>
    </row>
    <row r="194" spans="1:8" x14ac:dyDescent="0.75">
      <c r="A194" s="1">
        <v>37591</v>
      </c>
      <c r="H194" s="2">
        <v>8.1362299999999994</v>
      </c>
    </row>
    <row r="195" spans="1:8" x14ac:dyDescent="0.75">
      <c r="A195" s="1">
        <v>37622</v>
      </c>
      <c r="H195" s="2">
        <v>12.382899999999999</v>
      </c>
    </row>
    <row r="196" spans="1:8" x14ac:dyDescent="0.75">
      <c r="A196" s="1">
        <v>37653</v>
      </c>
      <c r="H196" s="2">
        <v>11.0411</v>
      </c>
    </row>
    <row r="197" spans="1:8" x14ac:dyDescent="0.75">
      <c r="A197" s="1">
        <v>37681</v>
      </c>
      <c r="H197" s="2">
        <v>12.696960000000001</v>
      </c>
    </row>
    <row r="198" spans="1:8" x14ac:dyDescent="0.75">
      <c r="A198" s="1">
        <v>37712</v>
      </c>
      <c r="H198" s="2">
        <v>9.1244899999999998</v>
      </c>
    </row>
    <row r="199" spans="1:8" x14ac:dyDescent="0.75">
      <c r="A199" s="1">
        <v>37742</v>
      </c>
      <c r="H199" s="2">
        <v>6.8100899999999998</v>
      </c>
    </row>
    <row r="200" spans="1:8" x14ac:dyDescent="0.75">
      <c r="A200" s="1">
        <v>37773</v>
      </c>
      <c r="H200" s="2">
        <v>6.1035000000000004</v>
      </c>
    </row>
    <row r="201" spans="1:8" x14ac:dyDescent="0.75">
      <c r="A201" s="1">
        <v>37803</v>
      </c>
      <c r="H201" s="2">
        <v>5.7947600000000001</v>
      </c>
    </row>
    <row r="202" spans="1:8" x14ac:dyDescent="0.75">
      <c r="A202" s="1">
        <v>37834</v>
      </c>
      <c r="H202" s="2">
        <v>7.0954100000000002</v>
      </c>
    </row>
    <row r="203" spans="1:8" x14ac:dyDescent="0.75">
      <c r="A203" s="1">
        <v>37865</v>
      </c>
      <c r="H203" s="2">
        <v>4.8991100000000003</v>
      </c>
    </row>
    <row r="204" spans="1:8" x14ac:dyDescent="0.75">
      <c r="A204" s="1">
        <v>37895</v>
      </c>
      <c r="H204" s="2">
        <v>5.5653699999999997</v>
      </c>
    </row>
    <row r="205" spans="1:8" x14ac:dyDescent="0.75">
      <c r="A205" s="1">
        <v>37926</v>
      </c>
      <c r="H205" s="2">
        <v>3.9862000000000002</v>
      </c>
    </row>
    <row r="206" spans="1:8" x14ac:dyDescent="0.75">
      <c r="A206" s="1">
        <v>37956</v>
      </c>
      <c r="H206" s="2">
        <v>4.6500000000000004</v>
      </c>
    </row>
    <row r="207" spans="1:8" x14ac:dyDescent="0.75">
      <c r="A207" s="1">
        <v>37987</v>
      </c>
      <c r="H207" s="2">
        <v>7.2120499999999996</v>
      </c>
    </row>
    <row r="208" spans="1:8" x14ac:dyDescent="0.75">
      <c r="A208" s="1">
        <v>38018</v>
      </c>
      <c r="H208" s="2">
        <v>5.31365</v>
      </c>
    </row>
    <row r="209" spans="1:8" x14ac:dyDescent="0.75">
      <c r="A209" s="1">
        <v>38047</v>
      </c>
      <c r="H209" s="2">
        <v>5.8746600000000004</v>
      </c>
    </row>
    <row r="210" spans="1:8" x14ac:dyDescent="0.75">
      <c r="A210" s="1">
        <v>38078</v>
      </c>
      <c r="H210" s="2">
        <v>4.5341300000000002</v>
      </c>
    </row>
    <row r="211" spans="1:8" x14ac:dyDescent="0.75">
      <c r="A211" s="1">
        <v>38108</v>
      </c>
      <c r="H211" s="2">
        <v>4.7057000000000002</v>
      </c>
    </row>
    <row r="212" spans="1:8" x14ac:dyDescent="0.75">
      <c r="A212" s="1">
        <v>38139</v>
      </c>
      <c r="H212" s="2">
        <v>4.2448300000000003</v>
      </c>
    </row>
    <row r="213" spans="1:8" x14ac:dyDescent="0.75">
      <c r="A213" s="1">
        <v>38169</v>
      </c>
      <c r="H213" s="2">
        <v>4.8188899999999997</v>
      </c>
    </row>
    <row r="214" spans="1:8" x14ac:dyDescent="0.75">
      <c r="A214" s="1">
        <v>38200</v>
      </c>
      <c r="H214" s="2">
        <v>4.8748199999999997</v>
      </c>
    </row>
    <row r="215" spans="1:8" x14ac:dyDescent="0.75">
      <c r="A215" s="1">
        <v>38231</v>
      </c>
      <c r="H215" s="2">
        <v>4.1325900000000004</v>
      </c>
    </row>
    <row r="216" spans="1:8" x14ac:dyDescent="0.75">
      <c r="A216" s="1">
        <v>38261</v>
      </c>
      <c r="H216" s="2">
        <v>6.4359500000000001</v>
      </c>
    </row>
    <row r="217" spans="1:8" x14ac:dyDescent="0.75">
      <c r="A217" s="1">
        <v>38292</v>
      </c>
      <c r="H217" s="2">
        <v>4.1586600000000002</v>
      </c>
    </row>
    <row r="218" spans="1:8" x14ac:dyDescent="0.75">
      <c r="A218" s="1">
        <v>38322</v>
      </c>
      <c r="H218" s="2">
        <v>4.3039800000000001</v>
      </c>
    </row>
    <row r="219" spans="1:8" x14ac:dyDescent="0.75">
      <c r="A219" s="1">
        <v>38353</v>
      </c>
      <c r="H219" s="2">
        <v>4.2309700000000001</v>
      </c>
    </row>
    <row r="220" spans="1:8" x14ac:dyDescent="0.75">
      <c r="A220" s="1">
        <v>38384</v>
      </c>
      <c r="H220" s="2">
        <v>6.4262899999999998</v>
      </c>
    </row>
    <row r="221" spans="1:8" x14ac:dyDescent="0.75">
      <c r="A221" s="1">
        <v>38412</v>
      </c>
      <c r="H221" s="2">
        <v>4.3194600000000003</v>
      </c>
    </row>
    <row r="222" spans="1:8" x14ac:dyDescent="0.75">
      <c r="A222" s="1">
        <v>38443</v>
      </c>
      <c r="H222" s="2">
        <v>14.767469999999999</v>
      </c>
    </row>
    <row r="223" spans="1:8" x14ac:dyDescent="0.75">
      <c r="A223" s="1">
        <v>38473</v>
      </c>
      <c r="H223" s="2">
        <v>0.85353999999999997</v>
      </c>
    </row>
    <row r="224" spans="1:8" x14ac:dyDescent="0.75">
      <c r="A224" s="1">
        <v>38504</v>
      </c>
      <c r="H224" s="2">
        <v>0.40864</v>
      </c>
    </row>
    <row r="225" spans="1:8" x14ac:dyDescent="0.75">
      <c r="A225" s="1">
        <v>38534</v>
      </c>
      <c r="H225" s="2">
        <v>17.216740000000001</v>
      </c>
    </row>
    <row r="226" spans="1:8" x14ac:dyDescent="0.75">
      <c r="A226" s="1">
        <v>38565</v>
      </c>
      <c r="H226" s="2">
        <v>15.0261</v>
      </c>
    </row>
    <row r="227" spans="1:8" x14ac:dyDescent="0.75">
      <c r="A227" s="1">
        <v>38596</v>
      </c>
      <c r="H227" s="2">
        <v>3.9239999999999999</v>
      </c>
    </row>
    <row r="228" spans="1:8" x14ac:dyDescent="0.75">
      <c r="A228" s="1">
        <v>38626</v>
      </c>
      <c r="H228" s="2">
        <v>5.6087699999999998</v>
      </c>
    </row>
    <row r="229" spans="1:8" x14ac:dyDescent="0.75">
      <c r="A229" s="1">
        <v>38657</v>
      </c>
      <c r="H229" s="2">
        <v>7.4924600000000003</v>
      </c>
    </row>
    <row r="230" spans="1:8" x14ac:dyDescent="0.75">
      <c r="A230" s="1">
        <v>38687</v>
      </c>
      <c r="H230" s="2">
        <v>11.23592</v>
      </c>
    </row>
    <row r="231" spans="1:8" x14ac:dyDescent="0.75">
      <c r="A231" s="1">
        <v>38718</v>
      </c>
      <c r="H231" s="2">
        <v>10.40217</v>
      </c>
    </row>
    <row r="232" spans="1:8" x14ac:dyDescent="0.75">
      <c r="A232" s="1">
        <v>38749</v>
      </c>
      <c r="H232" s="2">
        <v>9.3030299999999997</v>
      </c>
    </row>
    <row r="233" spans="1:8" x14ac:dyDescent="0.75">
      <c r="A233" s="1">
        <v>38777</v>
      </c>
      <c r="H233" s="2">
        <v>11.531689999999999</v>
      </c>
    </row>
    <row r="234" spans="1:8" x14ac:dyDescent="0.75">
      <c r="A234" s="1">
        <v>38808</v>
      </c>
      <c r="H234" s="2">
        <v>23.41629</v>
      </c>
    </row>
    <row r="235" spans="1:8" x14ac:dyDescent="0.75">
      <c r="A235" s="1">
        <v>38838</v>
      </c>
      <c r="H235" s="2">
        <v>7.9819300000000002</v>
      </c>
    </row>
    <row r="236" spans="1:8" x14ac:dyDescent="0.75">
      <c r="A236" s="1">
        <v>38869</v>
      </c>
      <c r="H236" s="2">
        <v>8.2557899999999993</v>
      </c>
    </row>
    <row r="237" spans="1:8" x14ac:dyDescent="0.75">
      <c r="A237" s="1">
        <v>38899</v>
      </c>
      <c r="H237" s="2">
        <v>8.3245400000000007</v>
      </c>
    </row>
    <row r="238" spans="1:8" x14ac:dyDescent="0.75">
      <c r="A238" s="1">
        <v>38930</v>
      </c>
      <c r="H238" s="2">
        <v>7.7671700000000001</v>
      </c>
    </row>
    <row r="239" spans="1:8" x14ac:dyDescent="0.75">
      <c r="A239" s="1">
        <v>38961</v>
      </c>
      <c r="H239" s="2">
        <v>6.7786099999999996</v>
      </c>
    </row>
    <row r="240" spans="1:8" x14ac:dyDescent="0.75">
      <c r="A240" s="1">
        <v>38991</v>
      </c>
      <c r="H240" s="2">
        <v>5.9243399999999999</v>
      </c>
    </row>
    <row r="241" spans="1:8" x14ac:dyDescent="0.75">
      <c r="A241" s="1">
        <v>39022</v>
      </c>
      <c r="H241" s="2">
        <v>5.5418000000000003</v>
      </c>
    </row>
    <row r="242" spans="1:8" x14ac:dyDescent="0.75">
      <c r="A242" s="1">
        <v>39052</v>
      </c>
      <c r="H242" s="2">
        <v>5.3924899999999996</v>
      </c>
    </row>
    <row r="243" spans="1:8" x14ac:dyDescent="0.75">
      <c r="A243" s="1">
        <v>39083</v>
      </c>
      <c r="H243" s="2">
        <v>4.9462000000000002</v>
      </c>
    </row>
    <row r="244" spans="1:8" x14ac:dyDescent="0.75">
      <c r="A244" s="1">
        <v>39114</v>
      </c>
      <c r="H244" s="2">
        <v>4.8541299999999996</v>
      </c>
    </row>
    <row r="245" spans="1:8" x14ac:dyDescent="0.75">
      <c r="A245" s="1">
        <v>39142</v>
      </c>
      <c r="H245" s="2">
        <v>12.682</v>
      </c>
    </row>
    <row r="246" spans="1:8" x14ac:dyDescent="0.75">
      <c r="A246" s="1">
        <v>39173</v>
      </c>
      <c r="H246" s="2">
        <v>7.1271000000000004</v>
      </c>
    </row>
    <row r="247" spans="1:8" x14ac:dyDescent="0.75">
      <c r="A247" s="1">
        <v>39203</v>
      </c>
      <c r="H247" s="2">
        <v>5.5308999999999999</v>
      </c>
    </row>
    <row r="248" spans="1:8" x14ac:dyDescent="0.75">
      <c r="A248" s="1">
        <v>39234</v>
      </c>
      <c r="H248" s="2">
        <v>4.2418399999999998</v>
      </c>
    </row>
    <row r="249" spans="1:8" x14ac:dyDescent="0.75">
      <c r="A249" s="1">
        <v>39264</v>
      </c>
      <c r="H249" s="2">
        <v>4.4606000000000003</v>
      </c>
    </row>
    <row r="250" spans="1:8" x14ac:dyDescent="0.75">
      <c r="A250" s="1">
        <v>39295</v>
      </c>
      <c r="H250" s="2">
        <v>3.4681500000000001</v>
      </c>
    </row>
    <row r="251" spans="1:8" x14ac:dyDescent="0.75">
      <c r="A251" s="1">
        <v>39326</v>
      </c>
      <c r="H251" s="2">
        <v>10.226290000000001</v>
      </c>
    </row>
    <row r="252" spans="1:8" x14ac:dyDescent="0.75">
      <c r="A252" s="1">
        <v>39356</v>
      </c>
      <c r="H252" s="2">
        <v>3.5709399999999998</v>
      </c>
    </row>
    <row r="253" spans="1:8" x14ac:dyDescent="0.75">
      <c r="A253" s="1">
        <v>39387</v>
      </c>
      <c r="H253" s="2">
        <v>3.47634</v>
      </c>
    </row>
    <row r="254" spans="1:8" x14ac:dyDescent="0.75">
      <c r="A254" s="1">
        <v>39417</v>
      </c>
      <c r="H254" s="2">
        <v>3.1929699999999999</v>
      </c>
    </row>
    <row r="255" spans="1:8" x14ac:dyDescent="0.75">
      <c r="A255" s="1">
        <v>39448</v>
      </c>
      <c r="H255" s="2">
        <v>6.0753899999999996</v>
      </c>
    </row>
    <row r="256" spans="1:8" x14ac:dyDescent="0.75">
      <c r="A256" s="1">
        <v>39479</v>
      </c>
      <c r="H256" s="2">
        <v>7.5279299999999996</v>
      </c>
    </row>
    <row r="257" spans="1:8" x14ac:dyDescent="0.75">
      <c r="A257" s="1">
        <v>39508</v>
      </c>
      <c r="H257" s="2">
        <v>5.6955400000000003</v>
      </c>
    </row>
    <row r="258" spans="1:8" x14ac:dyDescent="0.75">
      <c r="A258" s="1">
        <v>39539</v>
      </c>
      <c r="H258" s="2">
        <v>7.5303399999999998</v>
      </c>
    </row>
    <row r="259" spans="1:8" x14ac:dyDescent="0.75">
      <c r="A259" s="1">
        <v>39569</v>
      </c>
      <c r="H259" s="2">
        <v>8.1488800000000001</v>
      </c>
    </row>
    <row r="260" spans="1:8" x14ac:dyDescent="0.75">
      <c r="A260" s="1">
        <v>39600</v>
      </c>
      <c r="H260" s="2">
        <v>8.45974</v>
      </c>
    </row>
    <row r="261" spans="1:8" x14ac:dyDescent="0.75">
      <c r="A261" s="1">
        <v>39630</v>
      </c>
      <c r="H261" s="2">
        <v>8.6837300000000006</v>
      </c>
    </row>
    <row r="262" spans="1:8" x14ac:dyDescent="0.75">
      <c r="A262" s="1">
        <v>39661</v>
      </c>
      <c r="H262" s="2">
        <v>9.1974</v>
      </c>
    </row>
    <row r="263" spans="1:8" x14ac:dyDescent="0.75">
      <c r="A263" s="1">
        <v>39692</v>
      </c>
      <c r="H263" s="2">
        <v>9.4091100000000001</v>
      </c>
    </row>
    <row r="264" spans="1:8" x14ac:dyDescent="0.75">
      <c r="A264" s="1">
        <v>39722</v>
      </c>
      <c r="H264" s="2">
        <v>9.84666</v>
      </c>
    </row>
    <row r="265" spans="1:8" x14ac:dyDescent="0.75">
      <c r="A265" s="1">
        <v>39753</v>
      </c>
      <c r="H265" s="2">
        <v>9.8371200000000005</v>
      </c>
    </row>
    <row r="266" spans="1:8" x14ac:dyDescent="0.75">
      <c r="A266" s="1">
        <v>39783</v>
      </c>
      <c r="H266" s="2">
        <v>9.4046299999999992</v>
      </c>
    </row>
    <row r="267" spans="1:8" x14ac:dyDescent="0.75">
      <c r="A267" s="1">
        <v>39814</v>
      </c>
      <c r="H267" s="2">
        <v>8.6172199999999997</v>
      </c>
    </row>
    <row r="268" spans="1:8" x14ac:dyDescent="0.75">
      <c r="A268" s="1">
        <v>39845</v>
      </c>
      <c r="H268" s="2">
        <v>8.4243900000000007</v>
      </c>
    </row>
    <row r="269" spans="1:8" x14ac:dyDescent="0.75">
      <c r="A269" s="1">
        <v>39873</v>
      </c>
      <c r="H269" s="2">
        <v>8.2079500000000003</v>
      </c>
    </row>
    <row r="270" spans="1:8" x14ac:dyDescent="0.75">
      <c r="A270" s="1">
        <v>39904</v>
      </c>
      <c r="H270" s="2">
        <v>7.6213699999999998</v>
      </c>
    </row>
    <row r="271" spans="1:8" x14ac:dyDescent="0.75">
      <c r="A271" s="1">
        <v>39934</v>
      </c>
      <c r="H271" s="2">
        <v>7.3193700000000002</v>
      </c>
    </row>
    <row r="272" spans="1:8" x14ac:dyDescent="0.75">
      <c r="A272" s="1">
        <v>39965</v>
      </c>
      <c r="H272" s="2">
        <v>6.8136099999999997</v>
      </c>
    </row>
    <row r="273" spans="1:8" x14ac:dyDescent="0.75">
      <c r="A273" s="1">
        <v>39995</v>
      </c>
      <c r="H273" s="2">
        <v>6.5585100000000001</v>
      </c>
    </row>
    <row r="274" spans="1:8" x14ac:dyDescent="0.75">
      <c r="A274" s="1">
        <v>40026</v>
      </c>
      <c r="H274" s="2">
        <v>6.18994</v>
      </c>
    </row>
    <row r="275" spans="1:8" x14ac:dyDescent="0.75">
      <c r="A275" s="1">
        <v>40057</v>
      </c>
      <c r="H275" s="2">
        <v>6.3315000000000001</v>
      </c>
    </row>
    <row r="276" spans="1:8" x14ac:dyDescent="0.75">
      <c r="A276" s="1">
        <v>40087</v>
      </c>
      <c r="H276" s="2">
        <v>6.2947699999999998</v>
      </c>
    </row>
    <row r="277" spans="1:8" x14ac:dyDescent="0.75">
      <c r="A277" s="1">
        <v>40118</v>
      </c>
      <c r="H277" s="2">
        <v>6.4267899999999996</v>
      </c>
    </row>
    <row r="278" spans="1:8" x14ac:dyDescent="0.75">
      <c r="A278" s="1">
        <v>40148</v>
      </c>
      <c r="H278" s="2">
        <v>6.4899800000000001</v>
      </c>
    </row>
    <row r="279" spans="1:8" x14ac:dyDescent="0.75">
      <c r="A279" s="1">
        <v>40179</v>
      </c>
      <c r="B279" s="2">
        <v>93.6</v>
      </c>
      <c r="C279" s="2">
        <v>115.97222222000001</v>
      </c>
      <c r="D279" s="2">
        <v>119.44444444</v>
      </c>
      <c r="E279" s="2">
        <v>132.36396668</v>
      </c>
      <c r="F279" s="2">
        <v>121.66276453</v>
      </c>
      <c r="H279" s="2">
        <v>6.1885500000000002</v>
      </c>
    </row>
    <row r="280" spans="1:8" x14ac:dyDescent="0.75">
      <c r="A280" s="1">
        <v>40210</v>
      </c>
      <c r="B280" s="2">
        <v>90.6</v>
      </c>
      <c r="C280" s="2">
        <v>114.98257839999999</v>
      </c>
      <c r="D280" s="2">
        <v>116.72473868</v>
      </c>
      <c r="E280" s="2">
        <v>127.21258396</v>
      </c>
      <c r="F280" s="2">
        <v>121.36969138000001</v>
      </c>
      <c r="H280" s="2">
        <v>6.2885099999999996</v>
      </c>
    </row>
    <row r="281" spans="1:8" x14ac:dyDescent="0.75">
      <c r="A281" s="1">
        <v>40238</v>
      </c>
      <c r="B281" s="2">
        <v>94.4</v>
      </c>
      <c r="C281" s="2">
        <v>118.90034364</v>
      </c>
      <c r="D281" s="2">
        <v>122.33676976</v>
      </c>
      <c r="E281" s="2">
        <v>131.54863329</v>
      </c>
      <c r="F281" s="2">
        <v>124.00495915</v>
      </c>
      <c r="H281" s="2">
        <v>6.1534399999999998</v>
      </c>
    </row>
    <row r="282" spans="1:8" x14ac:dyDescent="0.75">
      <c r="A282" s="1">
        <v>40269</v>
      </c>
      <c r="B282" s="2">
        <v>94.2</v>
      </c>
      <c r="C282" s="2">
        <v>119.8630137</v>
      </c>
      <c r="D282" s="2">
        <v>124.31506849</v>
      </c>
      <c r="E282" s="2">
        <v>132.41624565999999</v>
      </c>
      <c r="F282" s="2">
        <v>124.53376528</v>
      </c>
      <c r="H282" s="2">
        <v>6.1993999999999998</v>
      </c>
    </row>
    <row r="283" spans="1:8" x14ac:dyDescent="0.75">
      <c r="A283" s="1">
        <v>40299</v>
      </c>
      <c r="B283" s="2">
        <v>100</v>
      </c>
      <c r="C283" s="2">
        <v>125</v>
      </c>
      <c r="D283" s="2">
        <v>120.54794520999999</v>
      </c>
      <c r="E283" s="2">
        <v>137.29847771999999</v>
      </c>
      <c r="F283" s="2">
        <v>127.90925478</v>
      </c>
      <c r="H283" s="2">
        <v>6.3689600000000004</v>
      </c>
    </row>
    <row r="284" spans="1:8" x14ac:dyDescent="0.75">
      <c r="A284" s="1">
        <v>40330</v>
      </c>
      <c r="B284" s="2">
        <v>96</v>
      </c>
      <c r="C284" s="2">
        <v>121.91780822</v>
      </c>
      <c r="D284" s="2">
        <v>115.75342465999999</v>
      </c>
      <c r="E284" s="2">
        <v>146.52660628999999</v>
      </c>
      <c r="F284" s="2">
        <v>123.82308324</v>
      </c>
      <c r="H284" s="2">
        <v>6.2574500000000004</v>
      </c>
    </row>
    <row r="285" spans="1:8" x14ac:dyDescent="0.75">
      <c r="A285" s="1">
        <v>40360</v>
      </c>
      <c r="B285" s="2">
        <v>99.6</v>
      </c>
      <c r="C285" s="2">
        <v>126.96245734</v>
      </c>
      <c r="D285" s="2">
        <v>113.99317406</v>
      </c>
      <c r="E285" s="2">
        <v>137.04772639999999</v>
      </c>
      <c r="F285" s="2">
        <v>122.81351826</v>
      </c>
      <c r="H285" s="2">
        <v>6.2534599999999996</v>
      </c>
    </row>
    <row r="286" spans="1:8" x14ac:dyDescent="0.75">
      <c r="A286" s="1">
        <v>40391</v>
      </c>
      <c r="B286" s="2">
        <v>114.6</v>
      </c>
      <c r="C286" s="2">
        <v>125</v>
      </c>
      <c r="D286" s="2">
        <v>109.5890411</v>
      </c>
      <c r="E286" s="2">
        <v>122.18865415</v>
      </c>
      <c r="F286" s="2">
        <v>119.63857366000001</v>
      </c>
      <c r="H286" s="2">
        <v>6.4552699999999996</v>
      </c>
    </row>
    <row r="287" spans="1:8" x14ac:dyDescent="0.75">
      <c r="A287" s="1">
        <v>40422</v>
      </c>
      <c r="B287" s="2">
        <v>113.3</v>
      </c>
      <c r="C287" s="2">
        <v>122.18430033999999</v>
      </c>
      <c r="D287" s="2">
        <v>112.96928328</v>
      </c>
      <c r="E287" s="2">
        <v>127.20274563</v>
      </c>
      <c r="F287" s="2">
        <v>123.11178923999999</v>
      </c>
      <c r="H287" s="2">
        <v>6.2260400000000002</v>
      </c>
    </row>
    <row r="288" spans="1:8" x14ac:dyDescent="0.75">
      <c r="A288" s="1">
        <v>40452</v>
      </c>
      <c r="B288" s="2">
        <v>100.4</v>
      </c>
      <c r="C288" s="2">
        <v>120.13651877</v>
      </c>
      <c r="D288" s="2">
        <v>114.33447099</v>
      </c>
      <c r="E288" s="2">
        <v>124.65903167</v>
      </c>
      <c r="F288" s="2">
        <v>119.13364076000001</v>
      </c>
      <c r="H288" s="2">
        <v>5.6195199999999996</v>
      </c>
    </row>
    <row r="289" spans="1:8" x14ac:dyDescent="0.75">
      <c r="A289" s="1">
        <v>40483</v>
      </c>
      <c r="B289" s="2">
        <v>97.9</v>
      </c>
      <c r="C289" s="2">
        <v>120.13651877</v>
      </c>
      <c r="D289" s="2">
        <v>114.67576792</v>
      </c>
      <c r="E289" s="2">
        <v>129.36266707999999</v>
      </c>
      <c r="F289" s="2">
        <v>121.71741191</v>
      </c>
      <c r="H289" s="2">
        <v>5.6020200000000004</v>
      </c>
    </row>
    <row r="290" spans="1:8" x14ac:dyDescent="0.75">
      <c r="A290" s="1">
        <v>40513</v>
      </c>
      <c r="B290" s="2">
        <v>105.1</v>
      </c>
      <c r="C290" s="2">
        <v>123.05084746</v>
      </c>
      <c r="D290" s="2">
        <v>127.45762712</v>
      </c>
      <c r="E290" s="2">
        <v>132.84536972999999</v>
      </c>
      <c r="F290" s="2">
        <v>125.21488877</v>
      </c>
      <c r="H290" s="2">
        <v>5.7274900000000004</v>
      </c>
    </row>
    <row r="291" spans="1:8" x14ac:dyDescent="0.75">
      <c r="A291" s="1">
        <v>40544</v>
      </c>
      <c r="B291" s="2">
        <v>101</v>
      </c>
      <c r="C291" s="2">
        <v>122.55639098</v>
      </c>
      <c r="D291" s="2">
        <v>121.05263158</v>
      </c>
      <c r="E291" s="2">
        <v>137.69743105000001</v>
      </c>
      <c r="F291" s="2">
        <v>123.61492392</v>
      </c>
      <c r="H291" s="2">
        <v>6.0278700000000001</v>
      </c>
    </row>
    <row r="292" spans="1:8" x14ac:dyDescent="0.75">
      <c r="A292" s="1">
        <v>40575</v>
      </c>
      <c r="B292" s="2">
        <v>98.6</v>
      </c>
      <c r="C292" s="2">
        <v>127.46478873</v>
      </c>
      <c r="D292" s="2">
        <v>122.53521127</v>
      </c>
      <c r="E292" s="2">
        <v>128.83638508999999</v>
      </c>
      <c r="F292" s="2">
        <v>118.16359036</v>
      </c>
      <c r="H292" s="2">
        <v>6.10304</v>
      </c>
    </row>
    <row r="293" spans="1:8" x14ac:dyDescent="0.75">
      <c r="A293" s="1">
        <v>40603</v>
      </c>
      <c r="B293" s="2">
        <v>102.4</v>
      </c>
      <c r="C293" s="2">
        <v>119.45392491</v>
      </c>
      <c r="D293" s="2">
        <v>125.2559727</v>
      </c>
      <c r="E293" s="2">
        <v>139.87209453</v>
      </c>
      <c r="F293" s="2">
        <v>125.3657997</v>
      </c>
      <c r="H293" s="2">
        <v>6.1398900000000003</v>
      </c>
    </row>
    <row r="294" spans="1:8" x14ac:dyDescent="0.75">
      <c r="A294" s="1">
        <v>40634</v>
      </c>
      <c r="B294" s="2">
        <v>101.6</v>
      </c>
      <c r="C294" s="2">
        <v>120.80536913</v>
      </c>
      <c r="D294" s="2">
        <v>124.83221476999999</v>
      </c>
      <c r="E294" s="2">
        <v>134.62164897</v>
      </c>
      <c r="F294" s="2">
        <v>119.10684972</v>
      </c>
      <c r="H294" s="2">
        <v>6.3077100000000002</v>
      </c>
    </row>
    <row r="295" spans="1:8" x14ac:dyDescent="0.75">
      <c r="A295" s="1">
        <v>40664</v>
      </c>
      <c r="B295" s="2">
        <v>108</v>
      </c>
      <c r="C295" s="2">
        <v>115.35836177</v>
      </c>
      <c r="D295" s="2">
        <v>110.92150171</v>
      </c>
      <c r="E295" s="2">
        <v>137.80000000000001</v>
      </c>
      <c r="F295" s="2">
        <v>117.8</v>
      </c>
      <c r="H295" s="2">
        <v>6.2417100000000003</v>
      </c>
    </row>
    <row r="296" spans="1:8" x14ac:dyDescent="0.75">
      <c r="A296" s="1">
        <v>40695</v>
      </c>
      <c r="B296" s="2">
        <v>107.8</v>
      </c>
      <c r="C296" s="2">
        <v>122.41379310000001</v>
      </c>
      <c r="D296" s="2">
        <v>119.31034483000001</v>
      </c>
      <c r="E296" s="2">
        <v>136.51297138000001</v>
      </c>
      <c r="F296" s="2">
        <v>124.07617134</v>
      </c>
      <c r="H296" s="2">
        <v>6.1672500000000001</v>
      </c>
    </row>
    <row r="297" spans="1:8" x14ac:dyDescent="0.75">
      <c r="A297" s="1">
        <v>40725</v>
      </c>
      <c r="B297" s="2">
        <v>114.3</v>
      </c>
      <c r="C297" s="2">
        <v>117.18213058000001</v>
      </c>
      <c r="D297" s="2">
        <v>114.08934708</v>
      </c>
      <c r="E297" s="2">
        <v>134.28673974</v>
      </c>
      <c r="F297" s="2">
        <v>118.15221509</v>
      </c>
      <c r="H297" s="2">
        <v>5.8212799999999998</v>
      </c>
    </row>
    <row r="298" spans="1:8" x14ac:dyDescent="0.75">
      <c r="A298" s="1">
        <v>40756</v>
      </c>
      <c r="B298" s="2">
        <v>136.5</v>
      </c>
      <c r="C298" s="2">
        <v>112.45791246</v>
      </c>
      <c r="D298" s="2">
        <v>117.50841751</v>
      </c>
      <c r="E298" s="2">
        <v>123.36641456</v>
      </c>
      <c r="F298" s="2">
        <v>113.96907664</v>
      </c>
      <c r="H298" s="2">
        <v>5.8822099999999997</v>
      </c>
    </row>
    <row r="299" spans="1:8" x14ac:dyDescent="0.75">
      <c r="A299" s="1">
        <v>40787</v>
      </c>
      <c r="B299" s="2">
        <v>106.6</v>
      </c>
      <c r="C299" s="2">
        <v>121.88552189000001</v>
      </c>
      <c r="D299" s="2">
        <v>117.50841751</v>
      </c>
      <c r="E299" s="2">
        <v>128.34060504999999</v>
      </c>
      <c r="F299" s="2">
        <v>114.52620444</v>
      </c>
      <c r="H299" s="2">
        <v>5.3095600000000003</v>
      </c>
    </row>
    <row r="300" spans="1:8" x14ac:dyDescent="0.75">
      <c r="A300" s="1">
        <v>40817</v>
      </c>
      <c r="B300" s="2">
        <v>106.4</v>
      </c>
      <c r="C300" s="2">
        <v>129.75778546999999</v>
      </c>
      <c r="D300" s="2">
        <v>117.64705882</v>
      </c>
      <c r="E300" s="2">
        <v>139.62465159000001</v>
      </c>
      <c r="F300" s="2">
        <v>123.11327765999999</v>
      </c>
      <c r="H300" s="2">
        <v>5.05206</v>
      </c>
    </row>
    <row r="301" spans="1:8" x14ac:dyDescent="0.75">
      <c r="A301" s="1">
        <v>40848</v>
      </c>
      <c r="B301" s="2">
        <v>108.8</v>
      </c>
      <c r="C301" s="2">
        <v>133.78378377999999</v>
      </c>
      <c r="D301" s="2">
        <v>127.02702703</v>
      </c>
      <c r="E301" s="2">
        <v>133.44285708000001</v>
      </c>
      <c r="F301" s="2">
        <v>126.46454667</v>
      </c>
      <c r="H301" s="2">
        <v>4.5300200000000004</v>
      </c>
    </row>
    <row r="302" spans="1:8" x14ac:dyDescent="0.75">
      <c r="A302" s="1">
        <v>40878</v>
      </c>
      <c r="B302" s="2">
        <v>115.7</v>
      </c>
      <c r="C302" s="2">
        <v>123.23232323000001</v>
      </c>
      <c r="D302" s="2">
        <v>129.29292928999999</v>
      </c>
      <c r="E302" s="2">
        <v>135.75736734</v>
      </c>
      <c r="F302" s="2">
        <v>130.24031034999999</v>
      </c>
      <c r="H302" s="2">
        <v>4.5536399999999997</v>
      </c>
    </row>
    <row r="303" spans="1:8" x14ac:dyDescent="0.75">
      <c r="A303" s="1">
        <v>40909</v>
      </c>
      <c r="B303" s="2">
        <v>116.26083555</v>
      </c>
      <c r="C303" s="2">
        <v>118.37748344000001</v>
      </c>
      <c r="D303" s="2">
        <v>131.29139072999999</v>
      </c>
      <c r="E303" s="2">
        <v>140.38570738000001</v>
      </c>
      <c r="F303" s="2">
        <v>138.01006748</v>
      </c>
      <c r="H303" s="2">
        <v>4.0246899999999997</v>
      </c>
    </row>
    <row r="304" spans="1:8" x14ac:dyDescent="0.75">
      <c r="A304" s="1">
        <v>40940</v>
      </c>
      <c r="B304" s="2">
        <v>110.0282663</v>
      </c>
      <c r="C304" s="2">
        <v>125.12733446999999</v>
      </c>
      <c r="D304" s="2">
        <v>137.01188454999999</v>
      </c>
      <c r="E304" s="2">
        <v>152.05521060000001</v>
      </c>
      <c r="F304" s="2">
        <v>144.77348979000001</v>
      </c>
      <c r="H304" s="2">
        <v>3.75854</v>
      </c>
    </row>
    <row r="305" spans="1:8" x14ac:dyDescent="0.75">
      <c r="A305" s="1">
        <v>40969</v>
      </c>
      <c r="B305" s="2">
        <v>115.18020752</v>
      </c>
      <c r="C305" s="2">
        <v>120.28753994</v>
      </c>
      <c r="D305" s="2">
        <v>125.55910543</v>
      </c>
      <c r="E305" s="2">
        <v>153.21092365999999</v>
      </c>
      <c r="F305" s="2">
        <v>144.73678763999999</v>
      </c>
      <c r="H305" s="2">
        <v>3.7634599999999998</v>
      </c>
    </row>
    <row r="306" spans="1:8" x14ac:dyDescent="0.75">
      <c r="A306" s="1">
        <v>41000</v>
      </c>
      <c r="B306" s="2">
        <v>113.48930704999999</v>
      </c>
      <c r="C306" s="2">
        <v>128.27804107</v>
      </c>
      <c r="D306" s="2">
        <v>124.17061611</v>
      </c>
      <c r="E306" s="2">
        <v>145.30823215000001</v>
      </c>
      <c r="F306" s="2">
        <v>138.84329287</v>
      </c>
      <c r="H306" s="2">
        <v>3.7605</v>
      </c>
    </row>
    <row r="307" spans="1:8" x14ac:dyDescent="0.75">
      <c r="A307" s="1">
        <v>41030</v>
      </c>
      <c r="B307" s="2">
        <v>116.66888049000001</v>
      </c>
      <c r="C307" s="2">
        <v>134.53125</v>
      </c>
      <c r="D307" s="2">
        <v>128.75</v>
      </c>
      <c r="E307" s="2">
        <v>146.05662613999999</v>
      </c>
      <c r="F307" s="2">
        <v>133.61761028000001</v>
      </c>
      <c r="H307" s="2">
        <v>3.9376699999999998</v>
      </c>
    </row>
    <row r="308" spans="1:8" x14ac:dyDescent="0.75">
      <c r="A308" s="1">
        <v>41061</v>
      </c>
      <c r="B308" s="2">
        <v>123.19219991999999</v>
      </c>
      <c r="C308" s="2">
        <v>128.95569620000001</v>
      </c>
      <c r="D308" s="2">
        <v>134.01898734</v>
      </c>
      <c r="E308" s="2">
        <v>144.55454940000001</v>
      </c>
      <c r="F308" s="2">
        <v>138.05727400999999</v>
      </c>
      <c r="H308" s="2">
        <v>4.0561299999999996</v>
      </c>
    </row>
    <row r="309" spans="1:8" x14ac:dyDescent="0.75">
      <c r="A309" s="1">
        <v>41091</v>
      </c>
      <c r="B309" s="2">
        <v>137.07566371999999</v>
      </c>
      <c r="C309" s="2">
        <v>126.31578947</v>
      </c>
      <c r="D309" s="2">
        <v>135.60371516999999</v>
      </c>
      <c r="E309" s="2">
        <v>142.8833013</v>
      </c>
      <c r="F309" s="2">
        <v>136.21298557</v>
      </c>
      <c r="H309" s="2">
        <v>4.0617599999999996</v>
      </c>
    </row>
    <row r="310" spans="1:8" x14ac:dyDescent="0.75">
      <c r="A310" s="1">
        <v>41122</v>
      </c>
      <c r="B310" s="2">
        <v>150.98927515</v>
      </c>
      <c r="C310" s="2">
        <v>129.25696593999999</v>
      </c>
      <c r="D310" s="2">
        <v>123.374613</v>
      </c>
      <c r="E310" s="2">
        <v>143.25826681999999</v>
      </c>
      <c r="F310" s="2">
        <v>136.12945809000001</v>
      </c>
      <c r="H310" s="2">
        <v>4.0935800000000002</v>
      </c>
    </row>
    <row r="311" spans="1:8" x14ac:dyDescent="0.75">
      <c r="A311" s="1">
        <v>41153</v>
      </c>
      <c r="B311" s="2">
        <v>127.05197769</v>
      </c>
      <c r="C311" s="2">
        <v>134.82972136000001</v>
      </c>
      <c r="D311" s="2">
        <v>123.21981424000001</v>
      </c>
      <c r="E311" s="2">
        <v>133.35346680000001</v>
      </c>
      <c r="F311" s="2">
        <v>129.08082874999999</v>
      </c>
      <c r="H311" s="2">
        <v>4.1079600000000003</v>
      </c>
    </row>
    <row r="312" spans="1:8" x14ac:dyDescent="0.75">
      <c r="A312" s="1">
        <v>41183</v>
      </c>
      <c r="B312" s="2">
        <v>126.91075434</v>
      </c>
      <c r="C312" s="2">
        <v>130.03095974999999</v>
      </c>
      <c r="D312" s="2">
        <v>121.82662539</v>
      </c>
      <c r="E312" s="2">
        <v>138.80463563999999</v>
      </c>
      <c r="F312" s="2">
        <v>127.17274372999999</v>
      </c>
      <c r="H312" s="2">
        <v>4.1881899999999996</v>
      </c>
    </row>
    <row r="313" spans="1:8" x14ac:dyDescent="0.75">
      <c r="A313" s="1">
        <v>41214</v>
      </c>
      <c r="B313" s="2">
        <v>127.56930177</v>
      </c>
      <c r="C313" s="2">
        <v>127.44186046999999</v>
      </c>
      <c r="D313" s="2">
        <v>128.68217053999999</v>
      </c>
      <c r="E313" s="2">
        <v>139.02268262000001</v>
      </c>
      <c r="F313" s="2">
        <v>124.79598434</v>
      </c>
      <c r="H313" s="2">
        <v>4.1505599999999996</v>
      </c>
    </row>
    <row r="314" spans="1:8" x14ac:dyDescent="0.75">
      <c r="A314" s="1">
        <v>41244</v>
      </c>
      <c r="B314" s="2">
        <v>133.15867974</v>
      </c>
      <c r="C314" s="2">
        <v>120.49689441</v>
      </c>
      <c r="D314" s="2">
        <v>129.65838509</v>
      </c>
      <c r="E314" s="2">
        <v>137.29262564000001</v>
      </c>
      <c r="F314" s="2">
        <v>125.65227287</v>
      </c>
      <c r="H314" s="2">
        <v>4.44794</v>
      </c>
    </row>
    <row r="315" spans="1:8" x14ac:dyDescent="0.75">
      <c r="A315" s="1">
        <v>41275</v>
      </c>
      <c r="B315" s="2">
        <v>125.54581675</v>
      </c>
      <c r="C315" s="2">
        <v>122.99212598</v>
      </c>
      <c r="D315" s="2">
        <v>135.59055118000001</v>
      </c>
      <c r="E315" s="2">
        <v>158.01926793999999</v>
      </c>
      <c r="F315" s="2">
        <v>152.00355716999999</v>
      </c>
      <c r="H315" s="2">
        <v>4.1844000000000001</v>
      </c>
    </row>
    <row r="316" spans="1:8" x14ac:dyDescent="0.75">
      <c r="A316" s="1">
        <v>41306</v>
      </c>
      <c r="B316" s="2">
        <v>124.66448457</v>
      </c>
      <c r="C316" s="2">
        <v>119.40993788999999</v>
      </c>
      <c r="D316" s="2">
        <v>129.65838509</v>
      </c>
      <c r="E316" s="2">
        <v>155.84345533000001</v>
      </c>
      <c r="F316" s="2">
        <v>153.62005273</v>
      </c>
      <c r="H316" s="2">
        <v>4.1970200000000002</v>
      </c>
    </row>
    <row r="317" spans="1:8" x14ac:dyDescent="0.75">
      <c r="A317" s="1">
        <v>41334</v>
      </c>
      <c r="B317" s="2">
        <v>125.87523168</v>
      </c>
      <c r="C317" s="2">
        <v>125.19685038999999</v>
      </c>
      <c r="D317" s="2">
        <v>132.28346457000001</v>
      </c>
      <c r="E317" s="2">
        <v>144.61280828</v>
      </c>
      <c r="F317" s="2">
        <v>150.96582022999999</v>
      </c>
      <c r="H317" s="2">
        <v>4.24838</v>
      </c>
    </row>
    <row r="318" spans="1:8" x14ac:dyDescent="0.75">
      <c r="A318" s="1">
        <v>41365</v>
      </c>
      <c r="B318" s="2">
        <v>124.78841582</v>
      </c>
      <c r="C318" s="2">
        <v>129.82731554</v>
      </c>
      <c r="D318" s="2">
        <v>128.10047096</v>
      </c>
      <c r="E318" s="2">
        <v>164.6183839</v>
      </c>
      <c r="F318" s="2">
        <v>142.31888609999999</v>
      </c>
      <c r="H318" s="2">
        <v>4.1646999999999998</v>
      </c>
    </row>
    <row r="319" spans="1:8" x14ac:dyDescent="0.75">
      <c r="A319" s="1">
        <v>41395</v>
      </c>
      <c r="B319" s="2">
        <v>130.66378721999999</v>
      </c>
      <c r="C319" s="2">
        <v>133.07332292999999</v>
      </c>
      <c r="D319" s="2">
        <v>124.65116279</v>
      </c>
      <c r="E319" s="2">
        <v>152.71035556999999</v>
      </c>
      <c r="F319" s="2">
        <v>132.73918190000001</v>
      </c>
      <c r="H319" s="2">
        <v>4.1702300000000001</v>
      </c>
    </row>
    <row r="320" spans="1:8" x14ac:dyDescent="0.75">
      <c r="A320" s="1">
        <v>41426</v>
      </c>
      <c r="B320" s="2">
        <v>141.50309587999999</v>
      </c>
      <c r="C320" s="2">
        <v>127.34254992</v>
      </c>
      <c r="D320" s="2">
        <v>132.87250384000001</v>
      </c>
      <c r="E320" s="2">
        <v>167.04485603000001</v>
      </c>
      <c r="F320" s="2">
        <v>146.32573790000001</v>
      </c>
      <c r="G320" s="2">
        <v>4818.8999999999996</v>
      </c>
      <c r="H320" s="2">
        <v>4.4658199999999999</v>
      </c>
    </row>
    <row r="321" spans="1:8" x14ac:dyDescent="0.75">
      <c r="A321" s="1">
        <v>41456</v>
      </c>
      <c r="B321" s="2">
        <v>157.95620539999999</v>
      </c>
      <c r="C321" s="2">
        <v>123.12703583</v>
      </c>
      <c r="D321" s="2">
        <v>127.68729642</v>
      </c>
      <c r="E321" s="2">
        <v>155.38537106000001</v>
      </c>
      <c r="F321" s="2">
        <v>147.30840305999999</v>
      </c>
      <c r="G321" s="2">
        <v>4610.38</v>
      </c>
      <c r="H321" s="2">
        <v>4.8868799999999997</v>
      </c>
    </row>
    <row r="322" spans="1:8" x14ac:dyDescent="0.75">
      <c r="A322" s="1">
        <v>41487</v>
      </c>
      <c r="B322" s="2">
        <v>154.07715979</v>
      </c>
      <c r="C322" s="2">
        <v>128.70370370000001</v>
      </c>
      <c r="D322" s="2">
        <v>125.30864198</v>
      </c>
      <c r="E322" s="2">
        <v>162.30723262000001</v>
      </c>
      <c r="F322" s="2">
        <v>151.85799727</v>
      </c>
      <c r="G322" s="2">
        <v>4195.09</v>
      </c>
      <c r="H322" s="2">
        <v>5.4192499999999999</v>
      </c>
    </row>
    <row r="323" spans="1:8" x14ac:dyDescent="0.75">
      <c r="A323" s="1">
        <v>41518</v>
      </c>
      <c r="B323" s="2">
        <v>141.48445053</v>
      </c>
      <c r="C323" s="2">
        <v>137.07865168999999</v>
      </c>
      <c r="D323" s="2">
        <v>123.59550562</v>
      </c>
      <c r="E323" s="2">
        <v>160.89682106000001</v>
      </c>
      <c r="F323" s="2">
        <v>150.86106737</v>
      </c>
      <c r="G323" s="2">
        <v>4316.18</v>
      </c>
      <c r="H323" s="2">
        <v>5.7011900000000004</v>
      </c>
    </row>
    <row r="324" spans="1:8" x14ac:dyDescent="0.75">
      <c r="A324" s="1">
        <v>41548</v>
      </c>
      <c r="B324" s="2">
        <v>143.27234084</v>
      </c>
      <c r="C324" s="2">
        <v>130.8623298</v>
      </c>
      <c r="D324" s="2">
        <v>129.45205479000001</v>
      </c>
      <c r="E324" s="2">
        <v>157.04289145000001</v>
      </c>
      <c r="F324" s="2">
        <v>146.77196960000001</v>
      </c>
      <c r="G324" s="2">
        <v>4510.63</v>
      </c>
      <c r="H324" s="2">
        <v>5.7037800000000001</v>
      </c>
    </row>
    <row r="325" spans="1:8" x14ac:dyDescent="0.75">
      <c r="A325" s="1">
        <v>41579</v>
      </c>
      <c r="B325" s="2">
        <v>150.13367769000001</v>
      </c>
      <c r="C325" s="2">
        <v>132.83582089999999</v>
      </c>
      <c r="D325" s="2">
        <v>133.88059701</v>
      </c>
      <c r="E325" s="2">
        <v>164.09008617999999</v>
      </c>
      <c r="F325" s="2">
        <v>155.66048459999999</v>
      </c>
      <c r="G325" s="2">
        <v>4256.4399999999996</v>
      </c>
      <c r="H325" s="2">
        <v>5.96211</v>
      </c>
    </row>
    <row r="326" spans="1:8" x14ac:dyDescent="0.75">
      <c r="A326" s="1">
        <v>41609</v>
      </c>
      <c r="B326" s="2">
        <v>170.73451851999999</v>
      </c>
      <c r="C326" s="2">
        <v>125.81602374000001</v>
      </c>
      <c r="D326" s="2">
        <v>131.60237389</v>
      </c>
      <c r="E326" s="2">
        <v>168.38401569000001</v>
      </c>
      <c r="F326" s="2">
        <v>154.30419653000001</v>
      </c>
      <c r="G326" s="2">
        <v>4274.18</v>
      </c>
      <c r="H326" s="2">
        <v>6.2337699999999998</v>
      </c>
    </row>
    <row r="327" spans="1:8" x14ac:dyDescent="0.75">
      <c r="A327" s="1">
        <v>41640</v>
      </c>
      <c r="B327" s="2">
        <v>155.67149008000001</v>
      </c>
      <c r="C327" s="2">
        <v>130.45774648</v>
      </c>
      <c r="D327" s="2">
        <v>137.5</v>
      </c>
      <c r="E327" s="2">
        <v>168.94682435000001</v>
      </c>
      <c r="F327" s="2">
        <v>158.94340328000001</v>
      </c>
      <c r="G327" s="2">
        <v>4418.76</v>
      </c>
      <c r="H327" s="2">
        <v>5.88504</v>
      </c>
    </row>
    <row r="328" spans="1:8" x14ac:dyDescent="0.75">
      <c r="A328" s="1">
        <v>41671</v>
      </c>
      <c r="B328" s="2">
        <v>148.11470514000001</v>
      </c>
      <c r="C328" s="2">
        <v>139.88919668</v>
      </c>
      <c r="D328" s="2">
        <v>143.28254848</v>
      </c>
      <c r="E328" s="2">
        <v>147.81589545</v>
      </c>
      <c r="F328" s="2">
        <v>145.99205393</v>
      </c>
      <c r="G328" s="2">
        <v>4620.22</v>
      </c>
      <c r="H328" s="2">
        <v>5.8637699999999997</v>
      </c>
    </row>
    <row r="329" spans="1:8" x14ac:dyDescent="0.75">
      <c r="A329" s="1">
        <v>41699</v>
      </c>
      <c r="B329" s="2">
        <v>147.20280919999999</v>
      </c>
      <c r="C329" s="2">
        <v>139.38053097</v>
      </c>
      <c r="D329" s="2">
        <v>135.25073746000001</v>
      </c>
      <c r="E329" s="2">
        <v>145.45078759</v>
      </c>
      <c r="F329" s="2">
        <v>133.76778499</v>
      </c>
      <c r="G329" s="2">
        <v>4768.28</v>
      </c>
      <c r="H329" s="2">
        <v>5.8875799999999998</v>
      </c>
    </row>
    <row r="330" spans="1:8" x14ac:dyDescent="0.75">
      <c r="A330" s="1">
        <v>41730</v>
      </c>
      <c r="B330" s="2">
        <v>144.65576231</v>
      </c>
      <c r="C330" s="2">
        <v>141.32352940999999</v>
      </c>
      <c r="D330" s="2">
        <v>131.02941175999999</v>
      </c>
      <c r="E330" s="2">
        <v>151.58694034999999</v>
      </c>
      <c r="F330" s="2">
        <v>133.35374519000001</v>
      </c>
      <c r="G330" s="2">
        <v>4840.1499999999996</v>
      </c>
      <c r="H330" s="2">
        <v>5.8470000000000004</v>
      </c>
    </row>
    <row r="331" spans="1:8" x14ac:dyDescent="0.75">
      <c r="A331" s="1">
        <v>41760</v>
      </c>
      <c r="B331" s="2">
        <v>149.98432898999999</v>
      </c>
      <c r="C331" s="2">
        <v>137.28070174999999</v>
      </c>
      <c r="D331" s="2">
        <v>134.06432749000001</v>
      </c>
      <c r="E331" s="2">
        <v>150.15495921999999</v>
      </c>
      <c r="F331" s="2">
        <v>134.67676170999999</v>
      </c>
      <c r="G331" s="2">
        <v>4893.91</v>
      </c>
      <c r="H331" s="2">
        <v>5.8458399999999999</v>
      </c>
    </row>
    <row r="332" spans="1:8" x14ac:dyDescent="0.75">
      <c r="A332" s="1">
        <v>41791</v>
      </c>
      <c r="B332" s="2">
        <v>153.75778769999999</v>
      </c>
      <c r="C332" s="2">
        <v>133.81502889999999</v>
      </c>
      <c r="D332" s="2">
        <v>136.2716763</v>
      </c>
      <c r="E332" s="2">
        <v>138.3462542</v>
      </c>
      <c r="F332" s="2">
        <v>136.89324465999999</v>
      </c>
      <c r="G332" s="2">
        <v>4878.58</v>
      </c>
      <c r="H332" s="2">
        <v>5.8734700000000002</v>
      </c>
    </row>
    <row r="333" spans="1:8" x14ac:dyDescent="0.75">
      <c r="A333" s="1">
        <v>41821</v>
      </c>
      <c r="B333" s="2">
        <v>188.29559061</v>
      </c>
      <c r="C333" s="2">
        <v>128.67435158999999</v>
      </c>
      <c r="D333" s="2">
        <v>129.53890490000001</v>
      </c>
      <c r="E333" s="2">
        <v>130.43447541</v>
      </c>
      <c r="F333" s="2">
        <v>139.65331861000001</v>
      </c>
      <c r="G333" s="2">
        <v>5088.8</v>
      </c>
      <c r="H333" s="2">
        <v>6.5472700000000001</v>
      </c>
    </row>
    <row r="334" spans="1:8" x14ac:dyDescent="0.75">
      <c r="A334" s="1">
        <v>41852</v>
      </c>
      <c r="B334" s="2">
        <v>167.71718913000001</v>
      </c>
      <c r="C334" s="2">
        <v>142.44604317</v>
      </c>
      <c r="D334" s="2">
        <v>125.4676259</v>
      </c>
      <c r="E334" s="2">
        <v>151.98341065</v>
      </c>
      <c r="F334" s="2">
        <v>135.07728184999999</v>
      </c>
      <c r="G334" s="2">
        <v>5136.8599999999997</v>
      </c>
      <c r="H334" s="2">
        <v>5.8485100000000001</v>
      </c>
    </row>
    <row r="335" spans="1:8" x14ac:dyDescent="0.75">
      <c r="A335" s="1">
        <v>41883</v>
      </c>
      <c r="B335" s="2">
        <v>166.82326130999999</v>
      </c>
      <c r="C335" s="2">
        <v>130.60344828000001</v>
      </c>
      <c r="D335" s="2">
        <v>122.55747126</v>
      </c>
      <c r="E335" s="2">
        <v>156.49719555999999</v>
      </c>
      <c r="F335" s="2">
        <v>129.55665481</v>
      </c>
      <c r="G335" s="2">
        <v>5137.58</v>
      </c>
      <c r="H335" s="2">
        <v>5.84415</v>
      </c>
    </row>
    <row r="336" spans="1:8" x14ac:dyDescent="0.75">
      <c r="A336" s="1">
        <v>41913</v>
      </c>
      <c r="B336" s="2">
        <v>168.47163006</v>
      </c>
      <c r="C336" s="2">
        <v>129.41176471</v>
      </c>
      <c r="D336" s="2">
        <v>119.51219512</v>
      </c>
      <c r="E336" s="2">
        <v>158.07097909999999</v>
      </c>
      <c r="F336" s="2">
        <v>130.57221043000001</v>
      </c>
      <c r="G336" s="2">
        <v>5089.55</v>
      </c>
      <c r="H336" s="2">
        <v>5.80647</v>
      </c>
    </row>
    <row r="337" spans="1:8" x14ac:dyDescent="0.75">
      <c r="A337" s="1">
        <v>41944</v>
      </c>
      <c r="B337" s="2">
        <v>167.31589049999999</v>
      </c>
      <c r="C337" s="2">
        <v>124.49856733999999</v>
      </c>
      <c r="D337" s="2">
        <v>126.50429799</v>
      </c>
      <c r="E337" s="2">
        <v>163.84989049000001</v>
      </c>
      <c r="F337" s="2">
        <v>131.70642032999999</v>
      </c>
      <c r="G337" s="2">
        <v>5149.8900000000003</v>
      </c>
      <c r="H337" s="2">
        <v>5.8011100000000004</v>
      </c>
    </row>
    <row r="338" spans="1:8" x14ac:dyDescent="0.75">
      <c r="A338" s="1">
        <v>41974</v>
      </c>
      <c r="B338" s="2">
        <v>177.18730606</v>
      </c>
      <c r="C338" s="2">
        <v>121.31616595</v>
      </c>
      <c r="D338" s="2">
        <v>131.47353362000001</v>
      </c>
      <c r="E338" s="2">
        <v>141.71894685000001</v>
      </c>
      <c r="F338" s="2">
        <v>143.26238065999999</v>
      </c>
      <c r="G338" s="2">
        <v>5226.95</v>
      </c>
      <c r="H338" s="2">
        <v>6.1239999999999997</v>
      </c>
    </row>
    <row r="339" spans="1:8" x14ac:dyDescent="0.75">
      <c r="A339" s="1">
        <v>42005</v>
      </c>
      <c r="B339" s="2">
        <v>172.58110300999999</v>
      </c>
      <c r="C339" s="2">
        <v>123.57142856999999</v>
      </c>
      <c r="D339" s="2">
        <v>132.85714286000001</v>
      </c>
      <c r="E339" s="2">
        <v>137.85799913</v>
      </c>
      <c r="F339" s="2">
        <v>134.67585398</v>
      </c>
      <c r="G339" s="2">
        <v>5289.4</v>
      </c>
      <c r="H339" s="2">
        <v>5.8409000000000004</v>
      </c>
    </row>
    <row r="340" spans="1:8" x14ac:dyDescent="0.75">
      <c r="A340" s="1">
        <v>42036</v>
      </c>
      <c r="B340" s="2">
        <v>171.88618388</v>
      </c>
      <c r="C340" s="2">
        <v>130.14285713999999</v>
      </c>
      <c r="D340" s="2">
        <v>136.62374821</v>
      </c>
      <c r="E340" s="2">
        <v>140.93266492000001</v>
      </c>
      <c r="F340" s="2">
        <v>130.20702901000001</v>
      </c>
      <c r="G340" s="2">
        <v>5450.29</v>
      </c>
      <c r="H340" s="2">
        <v>5.6509299999999998</v>
      </c>
    </row>
    <row r="341" spans="1:8" x14ac:dyDescent="0.75">
      <c r="A341" s="1">
        <v>42064</v>
      </c>
      <c r="B341" s="2">
        <v>176.19472295</v>
      </c>
      <c r="C341" s="2">
        <v>134</v>
      </c>
      <c r="D341" s="2">
        <v>130.71428571000001</v>
      </c>
      <c r="E341" s="2">
        <v>157.55809436000001</v>
      </c>
      <c r="F341" s="2">
        <v>131.66564030000001</v>
      </c>
      <c r="G341" s="2">
        <v>5518.68</v>
      </c>
      <c r="H341" s="2">
        <v>6.44529</v>
      </c>
    </row>
    <row r="342" spans="1:8" x14ac:dyDescent="0.75">
      <c r="A342" s="1">
        <v>42095</v>
      </c>
      <c r="B342" s="2">
        <v>178.14103449000001</v>
      </c>
      <c r="C342" s="2">
        <v>135.15406161999999</v>
      </c>
      <c r="D342" s="2">
        <v>129.83193277000001</v>
      </c>
      <c r="E342" s="2">
        <v>146.38120678999999</v>
      </c>
      <c r="F342" s="2">
        <v>135.45291929999999</v>
      </c>
      <c r="G342" s="2">
        <v>5086.43</v>
      </c>
      <c r="H342" s="2">
        <v>5.74268</v>
      </c>
    </row>
    <row r="343" spans="1:8" x14ac:dyDescent="0.75">
      <c r="A343" s="1">
        <v>42125</v>
      </c>
      <c r="B343" s="2">
        <v>180.81254569999999</v>
      </c>
      <c r="C343" s="2">
        <v>138.1101774</v>
      </c>
      <c r="D343" s="2">
        <v>125.59817346</v>
      </c>
      <c r="E343" s="2">
        <v>145.89826126</v>
      </c>
      <c r="F343" s="2">
        <v>132.20614173000001</v>
      </c>
      <c r="G343" s="2">
        <v>5216.38</v>
      </c>
      <c r="H343" s="2">
        <v>5.6018299999999996</v>
      </c>
    </row>
    <row r="344" spans="1:8" x14ac:dyDescent="0.75">
      <c r="A344" s="1">
        <v>42156</v>
      </c>
      <c r="B344" s="2">
        <v>188.10263548</v>
      </c>
      <c r="C344" s="2">
        <v>125.31468531</v>
      </c>
      <c r="D344" s="2">
        <v>132.72727273000001</v>
      </c>
      <c r="E344" s="2">
        <v>132.35998434000001</v>
      </c>
      <c r="F344" s="2">
        <v>137.41915527</v>
      </c>
      <c r="G344" s="2">
        <v>4910.66</v>
      </c>
      <c r="H344" s="2">
        <v>5.6745700000000001</v>
      </c>
    </row>
    <row r="345" spans="1:8" x14ac:dyDescent="0.75">
      <c r="A345" s="1">
        <v>42186</v>
      </c>
      <c r="B345" s="2">
        <v>204.22908032000001</v>
      </c>
      <c r="C345" s="2">
        <v>121.53846154</v>
      </c>
      <c r="D345" s="2">
        <v>132.86713287000001</v>
      </c>
      <c r="E345" s="2">
        <v>132.14064177</v>
      </c>
      <c r="F345" s="2">
        <v>137.76723519999999</v>
      </c>
      <c r="G345" s="2">
        <v>4802.53</v>
      </c>
      <c r="H345" s="2">
        <v>5.6232199999999999</v>
      </c>
    </row>
    <row r="346" spans="1:8" x14ac:dyDescent="0.75">
      <c r="A346" s="1">
        <v>42217</v>
      </c>
      <c r="B346" s="2">
        <v>177.48130237999999</v>
      </c>
      <c r="C346" s="2">
        <v>121.22905028</v>
      </c>
      <c r="D346" s="2">
        <v>119.27374302</v>
      </c>
      <c r="E346" s="2">
        <v>151.37504064999999</v>
      </c>
      <c r="F346" s="2">
        <v>132.29108446000001</v>
      </c>
      <c r="G346" s="2">
        <v>4509.6099999999997</v>
      </c>
      <c r="H346" s="2">
        <v>5.7439900000000002</v>
      </c>
    </row>
    <row r="347" spans="1:8" x14ac:dyDescent="0.75">
      <c r="A347" s="1">
        <v>42248</v>
      </c>
      <c r="B347" s="2">
        <v>178.58956886999999</v>
      </c>
      <c r="C347" s="2">
        <v>130.68340307</v>
      </c>
      <c r="D347" s="2">
        <v>119.0070922</v>
      </c>
      <c r="E347" s="2">
        <v>150.23397585999999</v>
      </c>
      <c r="F347" s="2">
        <v>126.63846228</v>
      </c>
      <c r="G347" s="2">
        <v>4223.91</v>
      </c>
      <c r="H347" s="2">
        <v>8.1248400000000007</v>
      </c>
    </row>
    <row r="348" spans="1:8" x14ac:dyDescent="0.75">
      <c r="A348" s="1">
        <v>42278</v>
      </c>
      <c r="B348" s="2">
        <v>183.10491811</v>
      </c>
      <c r="C348" s="2">
        <v>123.32402235000001</v>
      </c>
      <c r="D348" s="2">
        <v>123.91608392000001</v>
      </c>
      <c r="E348" s="2">
        <v>147.2520926</v>
      </c>
      <c r="F348" s="2">
        <v>127.28698298</v>
      </c>
      <c r="G348" s="2">
        <v>4455.18</v>
      </c>
      <c r="H348" s="2">
        <v>5.8671899999999999</v>
      </c>
    </row>
    <row r="349" spans="1:8" x14ac:dyDescent="0.75">
      <c r="A349" s="1">
        <v>42309</v>
      </c>
      <c r="B349" s="2">
        <v>183.54009027999999</v>
      </c>
      <c r="C349" s="2">
        <v>130.37447989</v>
      </c>
      <c r="D349" s="2">
        <v>128.61111111</v>
      </c>
      <c r="E349" s="2">
        <v>144.82203003000001</v>
      </c>
      <c r="F349" s="2">
        <v>128.81356135999999</v>
      </c>
      <c r="G349" s="2">
        <v>4446.46</v>
      </c>
      <c r="H349" s="2">
        <v>5.8687699999999996</v>
      </c>
    </row>
    <row r="350" spans="1:8" x14ac:dyDescent="0.75">
      <c r="A350" s="1">
        <v>42339</v>
      </c>
      <c r="B350" s="2">
        <v>197.33728539000001</v>
      </c>
      <c r="C350" s="2">
        <v>124.02777777999999</v>
      </c>
      <c r="D350" s="2">
        <v>138.05555555999999</v>
      </c>
      <c r="E350" s="2">
        <v>131.19022475</v>
      </c>
      <c r="F350" s="2">
        <v>137.87857074999999</v>
      </c>
      <c r="G350" s="2">
        <v>4593.01</v>
      </c>
      <c r="H350" s="2">
        <v>7.3303200000000004</v>
      </c>
    </row>
    <row r="351" spans="1:8" x14ac:dyDescent="0.75">
      <c r="A351" s="1">
        <v>42370</v>
      </c>
      <c r="B351" s="2">
        <v>194.88610553000001</v>
      </c>
      <c r="C351" s="2">
        <v>127.17241378999999</v>
      </c>
      <c r="D351" s="2">
        <v>144.95159059</v>
      </c>
      <c r="E351" s="2">
        <v>123.69087372</v>
      </c>
      <c r="F351" s="2">
        <v>135.15566523999999</v>
      </c>
      <c r="G351" s="2">
        <v>4615.16</v>
      </c>
      <c r="H351" s="2">
        <v>5.3953300000000004</v>
      </c>
    </row>
    <row r="352" spans="1:8" x14ac:dyDescent="0.75">
      <c r="A352" s="1">
        <v>42401</v>
      </c>
      <c r="B352" s="2">
        <v>190.07569771999999</v>
      </c>
      <c r="C352" s="2">
        <v>131.18881119</v>
      </c>
      <c r="D352" s="2">
        <v>136.77510608</v>
      </c>
      <c r="E352" s="2">
        <v>128.43383449999999</v>
      </c>
      <c r="F352" s="2">
        <v>130.14466340000001</v>
      </c>
      <c r="G352" s="2">
        <v>4770.96</v>
      </c>
      <c r="H352" s="2">
        <v>5.1123399999999997</v>
      </c>
    </row>
    <row r="353" spans="1:8" x14ac:dyDescent="0.75">
      <c r="A353" s="1">
        <v>42430</v>
      </c>
      <c r="B353" s="2">
        <v>195.71446391999999</v>
      </c>
      <c r="C353" s="2">
        <v>139.59183673000001</v>
      </c>
      <c r="D353" s="2">
        <v>132.78911565000001</v>
      </c>
      <c r="E353" s="2">
        <v>139.71039929</v>
      </c>
      <c r="F353" s="2">
        <v>115.82516862</v>
      </c>
      <c r="G353" s="2">
        <v>4845.37</v>
      </c>
      <c r="H353" s="2">
        <v>4.8602499999999997</v>
      </c>
    </row>
    <row r="354" spans="1:8" x14ac:dyDescent="0.75">
      <c r="A354" s="1">
        <v>42461</v>
      </c>
      <c r="B354" s="2">
        <v>198.10075011999999</v>
      </c>
      <c r="C354" s="2">
        <v>142.54445964000001</v>
      </c>
      <c r="D354" s="2">
        <v>122.84541724</v>
      </c>
      <c r="E354" s="2">
        <v>148.04637034000001</v>
      </c>
      <c r="F354" s="2">
        <v>110.97754273</v>
      </c>
      <c r="G354" s="2">
        <v>4838.58</v>
      </c>
      <c r="H354" s="2">
        <v>4.9856699999999998</v>
      </c>
    </row>
    <row r="355" spans="1:8" x14ac:dyDescent="0.75">
      <c r="A355" s="1">
        <v>42491</v>
      </c>
      <c r="B355" s="2">
        <v>205.37007696000001</v>
      </c>
      <c r="C355" s="2">
        <v>132.28454171999999</v>
      </c>
      <c r="D355" s="2">
        <v>129.31506848999999</v>
      </c>
      <c r="E355" s="2">
        <v>139.69117711000001</v>
      </c>
      <c r="F355" s="2">
        <v>132.15687023000001</v>
      </c>
      <c r="G355" s="2">
        <v>4796.87</v>
      </c>
      <c r="H355" s="2">
        <v>4.8603399999999999</v>
      </c>
    </row>
    <row r="356" spans="1:8" x14ac:dyDescent="0.75">
      <c r="A356" s="1">
        <v>42522</v>
      </c>
      <c r="B356" s="2">
        <v>218.73583282999999</v>
      </c>
      <c r="C356" s="2">
        <v>132.97002724999999</v>
      </c>
      <c r="D356" s="2">
        <v>139.10081743999999</v>
      </c>
      <c r="E356" s="2">
        <v>128.76444537</v>
      </c>
      <c r="F356" s="2">
        <v>133.30602062</v>
      </c>
      <c r="G356" s="2">
        <v>5016.6499999999996</v>
      </c>
      <c r="H356" s="2">
        <v>4.8355399999999999</v>
      </c>
    </row>
    <row r="357" spans="1:8" x14ac:dyDescent="0.75">
      <c r="A357" s="1">
        <v>42552</v>
      </c>
      <c r="B357" s="2">
        <v>217.11760735999999</v>
      </c>
      <c r="C357" s="2">
        <v>129.60436562000001</v>
      </c>
      <c r="D357" s="2">
        <v>142.97407913000001</v>
      </c>
      <c r="E357" s="2">
        <v>120.71711672000001</v>
      </c>
      <c r="F357" s="2">
        <v>131.4376067</v>
      </c>
      <c r="G357" s="2">
        <v>5215.99</v>
      </c>
      <c r="H357" s="2">
        <v>4.6214599999999999</v>
      </c>
    </row>
    <row r="358" spans="1:8" x14ac:dyDescent="0.75">
      <c r="A358" s="1">
        <v>42583</v>
      </c>
      <c r="B358" s="2">
        <v>197.73945558</v>
      </c>
      <c r="C358" s="2">
        <v>127.52043596999999</v>
      </c>
      <c r="D358" s="2">
        <v>135.96730245000001</v>
      </c>
      <c r="E358" s="2">
        <v>122.45551306999999</v>
      </c>
      <c r="F358" s="2">
        <v>132.4019677</v>
      </c>
      <c r="G358" s="2">
        <v>5386.08</v>
      </c>
      <c r="H358" s="2">
        <v>4.8</v>
      </c>
    </row>
    <row r="359" spans="1:8" x14ac:dyDescent="0.75">
      <c r="A359" s="1">
        <v>42614</v>
      </c>
      <c r="B359" s="2">
        <v>197.54686681999999</v>
      </c>
      <c r="C359" s="2">
        <v>138.87362637000001</v>
      </c>
      <c r="D359" s="2">
        <v>127.06043956000001</v>
      </c>
      <c r="E359" s="2">
        <v>134.26080629</v>
      </c>
      <c r="F359" s="2">
        <v>132.26325928</v>
      </c>
      <c r="G359" s="2">
        <v>5364.8</v>
      </c>
      <c r="H359" s="2">
        <v>5.3764700000000003</v>
      </c>
    </row>
    <row r="360" spans="1:8" x14ac:dyDescent="0.75">
      <c r="A360" s="1">
        <v>42644</v>
      </c>
      <c r="B360" s="2">
        <v>197.93183612000001</v>
      </c>
      <c r="C360" s="2">
        <v>133.83768913</v>
      </c>
      <c r="D360" s="2">
        <v>133.83768913</v>
      </c>
      <c r="E360" s="2">
        <v>133.62380784999999</v>
      </c>
      <c r="F360" s="2">
        <v>124.78923813</v>
      </c>
      <c r="G360" s="2">
        <v>5422.54</v>
      </c>
      <c r="H360" s="2">
        <v>4.2048899999999998</v>
      </c>
    </row>
    <row r="361" spans="1:8" x14ac:dyDescent="0.75">
      <c r="A361" s="1">
        <v>42675</v>
      </c>
      <c r="B361" s="2">
        <v>201.67852880999999</v>
      </c>
      <c r="C361" s="2">
        <v>136.17606602000001</v>
      </c>
      <c r="D361" s="2">
        <v>133.70013754999999</v>
      </c>
      <c r="E361" s="2">
        <v>129.57515269999999</v>
      </c>
      <c r="F361" s="2">
        <v>126.79954137999999</v>
      </c>
      <c r="G361" s="2">
        <v>5148.91</v>
      </c>
      <c r="H361" s="2">
        <v>4.1731299999999996</v>
      </c>
    </row>
    <row r="362" spans="1:8" x14ac:dyDescent="0.75">
      <c r="A362" s="1">
        <v>42705</v>
      </c>
      <c r="B362" s="2">
        <v>217.97604135</v>
      </c>
      <c r="C362" s="2">
        <v>123.93397524</v>
      </c>
      <c r="D362" s="2">
        <v>139.75240715000001</v>
      </c>
      <c r="E362" s="2">
        <v>129.45357496</v>
      </c>
      <c r="F362" s="2">
        <v>131.68560212</v>
      </c>
      <c r="G362" s="2">
        <v>5296.71</v>
      </c>
      <c r="H362" s="2">
        <v>4.1485300000000001</v>
      </c>
    </row>
    <row r="363" spans="1:8" x14ac:dyDescent="0.75">
      <c r="A363" s="1">
        <v>42736</v>
      </c>
      <c r="B363" s="2">
        <v>207.22272226000001</v>
      </c>
      <c r="C363" s="2">
        <v>119.32432432</v>
      </c>
      <c r="D363" s="2">
        <v>147.09066306</v>
      </c>
      <c r="E363" s="2">
        <v>134.05937091000001</v>
      </c>
      <c r="F363" s="2">
        <v>132.32679166</v>
      </c>
      <c r="G363" s="2">
        <v>5294.1</v>
      </c>
      <c r="H363" s="2">
        <v>4.1031000000000004</v>
      </c>
    </row>
    <row r="364" spans="1:8" x14ac:dyDescent="0.75">
      <c r="A364" s="1">
        <v>42767</v>
      </c>
      <c r="B364" s="2">
        <v>197.14938936999999</v>
      </c>
      <c r="C364" s="2">
        <v>134.76454294000001</v>
      </c>
      <c r="D364" s="2">
        <v>144.59833795</v>
      </c>
      <c r="E364" s="2">
        <v>140.36468382000001</v>
      </c>
      <c r="F364" s="2">
        <v>131.31825628000001</v>
      </c>
      <c r="G364" s="2">
        <v>5386.69</v>
      </c>
      <c r="H364" s="2">
        <v>4.2367499999999998</v>
      </c>
    </row>
    <row r="365" spans="1:8" x14ac:dyDescent="0.75">
      <c r="A365" s="1">
        <v>42795</v>
      </c>
      <c r="B365" s="2">
        <v>204.01657116999999</v>
      </c>
      <c r="C365" s="2">
        <v>154.25824176</v>
      </c>
      <c r="D365" s="2">
        <v>137.08791209</v>
      </c>
      <c r="E365" s="2">
        <v>149.74253279000001</v>
      </c>
      <c r="F365" s="2">
        <v>130.29638451</v>
      </c>
      <c r="G365" s="2">
        <v>5568.11</v>
      </c>
      <c r="H365" s="2">
        <v>4.3143200000000004</v>
      </c>
    </row>
    <row r="366" spans="1:8" x14ac:dyDescent="0.75">
      <c r="A366" s="1">
        <v>42826</v>
      </c>
      <c r="B366" s="2">
        <v>206.49979461999999</v>
      </c>
      <c r="C366" s="2">
        <v>141.46005510000001</v>
      </c>
      <c r="D366" s="2">
        <v>131.68044076999999</v>
      </c>
      <c r="E366" s="2">
        <v>146.65788609000001</v>
      </c>
      <c r="F366" s="2">
        <v>130.00081125</v>
      </c>
      <c r="G366" s="2">
        <v>5685.3</v>
      </c>
      <c r="H366" s="2">
        <v>4.3420399999999999</v>
      </c>
    </row>
    <row r="367" spans="1:8" x14ac:dyDescent="0.75">
      <c r="A367" s="1">
        <v>42856</v>
      </c>
      <c r="B367" s="2">
        <v>214.26462755</v>
      </c>
      <c r="C367" s="2">
        <v>137.65347885</v>
      </c>
      <c r="D367" s="2">
        <v>129.74079126999999</v>
      </c>
      <c r="E367" s="2">
        <v>138.28114453000001</v>
      </c>
      <c r="F367" s="2">
        <v>135.82986269</v>
      </c>
      <c r="G367" s="2">
        <v>5738.15</v>
      </c>
      <c r="H367" s="2">
        <v>4.2619699999999998</v>
      </c>
    </row>
    <row r="368" spans="1:8" x14ac:dyDescent="0.75">
      <c r="A368" s="1">
        <v>42887</v>
      </c>
      <c r="B368" s="2">
        <v>232.4109417</v>
      </c>
      <c r="C368" s="2">
        <v>123.05555556</v>
      </c>
      <c r="D368" s="2">
        <v>141.25874125999999</v>
      </c>
      <c r="E368" s="2">
        <v>133.25686769999999</v>
      </c>
      <c r="F368" s="2">
        <v>149.34068467</v>
      </c>
      <c r="G368" s="2">
        <v>5829.71</v>
      </c>
      <c r="H368" s="2">
        <v>4.2284199999999998</v>
      </c>
    </row>
    <row r="369" spans="1:8" x14ac:dyDescent="0.75">
      <c r="A369" s="1">
        <v>42917</v>
      </c>
      <c r="B369" s="2">
        <v>209.94819129999999</v>
      </c>
      <c r="C369" s="2">
        <v>127.88461538</v>
      </c>
      <c r="D369" s="2">
        <v>153.52697094999999</v>
      </c>
      <c r="E369" s="2">
        <v>135.46757735</v>
      </c>
      <c r="F369" s="2">
        <v>158.13701603000001</v>
      </c>
      <c r="G369" s="2">
        <v>5840.94</v>
      </c>
      <c r="H369" s="2">
        <v>4.2547300000000003</v>
      </c>
    </row>
    <row r="370" spans="1:8" x14ac:dyDescent="0.75">
      <c r="A370" s="1">
        <v>42948</v>
      </c>
      <c r="B370" s="2">
        <v>202.0570525</v>
      </c>
      <c r="C370" s="2">
        <v>141.00135318</v>
      </c>
      <c r="D370" s="2">
        <v>141.40730717</v>
      </c>
      <c r="E370" s="2">
        <v>145.03710397</v>
      </c>
      <c r="F370" s="2">
        <v>162.65119332</v>
      </c>
      <c r="G370" s="2">
        <v>5864.06</v>
      </c>
      <c r="H370" s="2">
        <v>4.0533299999999999</v>
      </c>
    </row>
    <row r="371" spans="1:8" x14ac:dyDescent="0.75">
      <c r="A371" s="1">
        <v>42979</v>
      </c>
      <c r="B371" s="2">
        <v>201.19044775</v>
      </c>
      <c r="C371" s="2">
        <v>153.11653117</v>
      </c>
      <c r="D371" s="2">
        <v>136.04336043000001</v>
      </c>
      <c r="E371" s="2">
        <v>148.02429695000001</v>
      </c>
      <c r="F371" s="2">
        <v>157.31239342999999</v>
      </c>
      <c r="G371" s="2">
        <v>5900.85</v>
      </c>
      <c r="H371" s="2">
        <v>3.8612500000000001</v>
      </c>
    </row>
    <row r="372" spans="1:8" x14ac:dyDescent="0.75">
      <c r="A372" s="1">
        <v>43009</v>
      </c>
      <c r="B372" s="2">
        <v>202.3152528</v>
      </c>
      <c r="C372" s="2">
        <v>149.11804613000001</v>
      </c>
      <c r="D372" s="2">
        <v>135.68521031</v>
      </c>
      <c r="E372" s="2">
        <v>154.92842770999999</v>
      </c>
      <c r="F372" s="2">
        <v>163.13546986</v>
      </c>
      <c r="G372" s="2">
        <v>6005.78</v>
      </c>
      <c r="H372" s="2">
        <v>3.9365199999999998</v>
      </c>
    </row>
    <row r="373" spans="1:8" x14ac:dyDescent="0.75">
      <c r="A373" s="1">
        <v>43040</v>
      </c>
      <c r="B373" s="2">
        <v>206.68734119999999</v>
      </c>
      <c r="C373" s="2">
        <v>134.64673912999999</v>
      </c>
      <c r="D373" s="2">
        <v>151.02040815999999</v>
      </c>
      <c r="E373" s="2">
        <v>152.80842544000001</v>
      </c>
      <c r="F373" s="2">
        <v>173.20744246999999</v>
      </c>
      <c r="G373" s="2">
        <v>5952.14</v>
      </c>
      <c r="H373" s="2">
        <v>3.8956599999999999</v>
      </c>
    </row>
    <row r="374" spans="1:8" x14ac:dyDescent="0.75">
      <c r="A374" s="1">
        <v>43070</v>
      </c>
      <c r="B374" s="2">
        <v>219.52023531</v>
      </c>
      <c r="C374" s="2">
        <v>118.72455902</v>
      </c>
      <c r="D374" s="2">
        <v>148.98236091999999</v>
      </c>
      <c r="E374" s="2">
        <v>158.16009020000001</v>
      </c>
      <c r="F374" s="2">
        <v>167.92440955000001</v>
      </c>
      <c r="G374" s="2">
        <v>6355.65</v>
      </c>
      <c r="H374" s="2">
        <v>3.8541799999999999</v>
      </c>
    </row>
    <row r="375" spans="1:8" x14ac:dyDescent="0.75">
      <c r="A375" s="1">
        <v>43101</v>
      </c>
      <c r="B375" s="2">
        <v>203.50806808999999</v>
      </c>
      <c r="C375" s="2">
        <v>142.21921516</v>
      </c>
      <c r="D375" s="2">
        <v>140.32476319</v>
      </c>
      <c r="E375" s="2">
        <v>155.14660651</v>
      </c>
      <c r="F375" s="2">
        <v>161.51251156999999</v>
      </c>
      <c r="G375" s="2">
        <v>6605.63</v>
      </c>
      <c r="H375" s="2">
        <v>3.8374199999999998</v>
      </c>
    </row>
    <row r="376" spans="1:8" x14ac:dyDescent="0.75">
      <c r="A376" s="1">
        <v>43132</v>
      </c>
      <c r="B376" s="2">
        <v>200.03400338</v>
      </c>
      <c r="C376" s="2">
        <v>153.73961219</v>
      </c>
      <c r="D376" s="2">
        <v>147.64542936000001</v>
      </c>
      <c r="E376" s="2">
        <v>163.96267710999999</v>
      </c>
      <c r="F376" s="2">
        <v>149.23004723</v>
      </c>
      <c r="G376" s="2">
        <v>6597.22</v>
      </c>
      <c r="H376" s="2">
        <v>3.8517700000000001</v>
      </c>
    </row>
    <row r="377" spans="1:8" x14ac:dyDescent="0.75">
      <c r="A377" s="1">
        <v>43160</v>
      </c>
      <c r="B377" s="2">
        <v>209.10832798999999</v>
      </c>
      <c r="C377" s="2">
        <v>161.18784529999999</v>
      </c>
      <c r="D377" s="2">
        <v>141.08322325</v>
      </c>
      <c r="E377" s="2">
        <v>169.00557997000001</v>
      </c>
      <c r="F377" s="2">
        <v>150.79511840999999</v>
      </c>
      <c r="G377" s="2">
        <v>6188.99</v>
      </c>
      <c r="H377" s="2">
        <v>4.2832999999999997</v>
      </c>
    </row>
    <row r="378" spans="1:8" x14ac:dyDescent="0.75">
      <c r="A378" s="1">
        <v>43191</v>
      </c>
      <c r="B378" s="2">
        <v>215.02060817</v>
      </c>
      <c r="C378" s="2">
        <v>140.03</v>
      </c>
      <c r="D378" s="2">
        <v>146.21</v>
      </c>
      <c r="E378" s="2">
        <v>153.69999999999999</v>
      </c>
      <c r="F378" s="2">
        <v>163.08000000000001</v>
      </c>
      <c r="G378" s="2">
        <v>5994.6</v>
      </c>
      <c r="H378" s="2">
        <v>4.1986400000000001</v>
      </c>
    </row>
    <row r="379" spans="1:8" x14ac:dyDescent="0.75">
      <c r="A379" s="1">
        <v>43221</v>
      </c>
      <c r="B379" s="2">
        <v>231.95758470999999</v>
      </c>
      <c r="C379" s="2">
        <v>140.22824535999999</v>
      </c>
      <c r="D379" s="2">
        <v>140.65620541999999</v>
      </c>
      <c r="E379" s="2">
        <v>152.01917058999999</v>
      </c>
      <c r="F379" s="2">
        <v>165.76687283999999</v>
      </c>
      <c r="G379" s="2">
        <v>5983.59</v>
      </c>
      <c r="H379" s="2">
        <v>4.2769399999999997</v>
      </c>
    </row>
    <row r="380" spans="1:8" x14ac:dyDescent="0.75">
      <c r="A380" s="1">
        <v>43252</v>
      </c>
      <c r="B380" s="2">
        <v>237.82635042000001</v>
      </c>
      <c r="C380" s="2">
        <v>128.39506173000001</v>
      </c>
      <c r="D380" s="2">
        <v>160.33950616999999</v>
      </c>
      <c r="E380" s="2">
        <v>135.84624281000001</v>
      </c>
      <c r="F380" s="2">
        <v>170.9485924</v>
      </c>
      <c r="G380" s="2">
        <v>5799.24</v>
      </c>
      <c r="H380" s="2">
        <v>4.5671900000000001</v>
      </c>
    </row>
    <row r="381" spans="1:8" x14ac:dyDescent="0.75">
      <c r="A381" s="1">
        <v>43282</v>
      </c>
      <c r="B381" s="2">
        <v>216.03721544999999</v>
      </c>
      <c r="C381" s="2">
        <v>140.4</v>
      </c>
      <c r="D381" s="2">
        <v>161.6</v>
      </c>
      <c r="E381" s="2">
        <v>140.19999999999999</v>
      </c>
      <c r="F381" s="2">
        <v>177.8</v>
      </c>
      <c r="G381" s="2">
        <v>5936.44</v>
      </c>
      <c r="H381" s="2">
        <v>4.9846700000000004</v>
      </c>
    </row>
    <row r="382" spans="1:8" x14ac:dyDescent="0.75">
      <c r="A382" s="1">
        <v>43313</v>
      </c>
      <c r="B382" s="2">
        <v>214.29140642999999</v>
      </c>
      <c r="C382" s="2">
        <v>139.66712899000001</v>
      </c>
      <c r="D382" s="2">
        <v>148.33333332999999</v>
      </c>
      <c r="E382" s="2">
        <v>144.33964659</v>
      </c>
      <c r="F382" s="2">
        <v>177.25419941000001</v>
      </c>
      <c r="G382" s="2">
        <v>6018.46</v>
      </c>
      <c r="H382" s="2">
        <v>5.3508199999999997</v>
      </c>
    </row>
    <row r="383" spans="1:8" x14ac:dyDescent="0.75">
      <c r="A383" s="1">
        <v>43344</v>
      </c>
      <c r="B383" s="2">
        <v>210.83053898</v>
      </c>
      <c r="C383" s="2">
        <v>165.8872077</v>
      </c>
      <c r="D383" s="2">
        <v>143.75857339000001</v>
      </c>
      <c r="E383" s="2">
        <v>159.31885346999999</v>
      </c>
      <c r="F383" s="2">
        <v>173.31390264000001</v>
      </c>
      <c r="G383" s="2">
        <v>5976.55</v>
      </c>
      <c r="H383" s="2">
        <v>5.6255199999999999</v>
      </c>
    </row>
    <row r="384" spans="1:8" x14ac:dyDescent="0.75">
      <c r="A384" s="1">
        <v>43374</v>
      </c>
      <c r="B384" s="2">
        <v>208.14690014000001</v>
      </c>
      <c r="C384" s="2">
        <v>156.02165088000001</v>
      </c>
      <c r="D384" s="2">
        <v>141.67794316999999</v>
      </c>
      <c r="E384" s="2">
        <v>163.93265808000001</v>
      </c>
      <c r="F384" s="2">
        <v>172.37977236</v>
      </c>
      <c r="G384" s="2">
        <v>5831.65</v>
      </c>
      <c r="H384" s="2">
        <v>5.5655099999999997</v>
      </c>
    </row>
    <row r="385" spans="1:8" x14ac:dyDescent="0.75">
      <c r="A385" s="1">
        <v>43405</v>
      </c>
      <c r="B385" s="2">
        <v>213.74595719000001</v>
      </c>
      <c r="C385" s="2">
        <v>143.30000000000001</v>
      </c>
      <c r="D385" s="2">
        <v>149.26</v>
      </c>
      <c r="E385" s="2">
        <v>160.09</v>
      </c>
      <c r="F385" s="2">
        <v>161.54</v>
      </c>
      <c r="G385" s="2">
        <v>6056.12</v>
      </c>
      <c r="H385" s="2">
        <v>5.8297400000000001</v>
      </c>
    </row>
    <row r="386" spans="1:8" x14ac:dyDescent="0.75">
      <c r="A386" s="1">
        <v>43435</v>
      </c>
      <c r="B386" s="2">
        <v>236.33557325999999</v>
      </c>
      <c r="C386" s="2">
        <v>141.27198917000001</v>
      </c>
      <c r="D386" s="2">
        <v>148.84979702000001</v>
      </c>
      <c r="E386" s="2">
        <v>156.91633909000001</v>
      </c>
      <c r="F386" s="2">
        <v>168.02530707</v>
      </c>
      <c r="G386" s="2">
        <v>6194.5</v>
      </c>
      <c r="H386" s="2">
        <v>5.7772100000000002</v>
      </c>
    </row>
    <row r="387" spans="1:8" x14ac:dyDescent="0.75">
      <c r="A387" s="1">
        <v>43466</v>
      </c>
      <c r="B387" s="2">
        <v>218.13387553999999</v>
      </c>
      <c r="C387" s="2">
        <v>140.73071719000001</v>
      </c>
      <c r="D387" s="2">
        <v>136.26522327000001</v>
      </c>
      <c r="E387" s="2">
        <v>154.33097329</v>
      </c>
      <c r="F387" s="2">
        <v>157.93359752999999</v>
      </c>
      <c r="G387" s="2">
        <v>6532.97</v>
      </c>
      <c r="H387" s="2">
        <v>5.8158700000000003</v>
      </c>
    </row>
    <row r="388" spans="1:8" x14ac:dyDescent="0.75">
      <c r="A388" s="1">
        <v>43497</v>
      </c>
      <c r="B388" s="2">
        <v>218.20217807</v>
      </c>
      <c r="C388" s="2">
        <v>155.0744249</v>
      </c>
      <c r="D388" s="2">
        <v>151.28552096999999</v>
      </c>
      <c r="E388" s="2">
        <v>153.93308378</v>
      </c>
      <c r="F388" s="2">
        <v>155.32931137</v>
      </c>
      <c r="G388" s="2">
        <v>6443.35</v>
      </c>
      <c r="H388" s="2">
        <v>5.7196199999999999</v>
      </c>
    </row>
    <row r="389" spans="1:8" x14ac:dyDescent="0.75">
      <c r="A389" s="1">
        <v>43525</v>
      </c>
      <c r="B389" s="2">
        <v>230.16173877</v>
      </c>
      <c r="C389" s="2">
        <v>154.86486486000001</v>
      </c>
      <c r="D389" s="2">
        <v>149.86486486000001</v>
      </c>
      <c r="E389" s="2">
        <v>174.64189304000001</v>
      </c>
      <c r="F389" s="2">
        <v>152.80585887000001</v>
      </c>
      <c r="G389" s="2">
        <v>6468.75</v>
      </c>
      <c r="H389" s="2">
        <v>5.9294700000000002</v>
      </c>
    </row>
    <row r="390" spans="1:8" x14ac:dyDescent="0.75">
      <c r="A390" s="1">
        <v>43556</v>
      </c>
      <c r="B390" s="2">
        <v>229.34501230000001</v>
      </c>
      <c r="C390" s="2">
        <v>143.03112314000001</v>
      </c>
      <c r="D390" s="2">
        <v>153.72124493000001</v>
      </c>
      <c r="E390" s="2">
        <v>160.48605505</v>
      </c>
      <c r="F390" s="2">
        <v>157.10351054</v>
      </c>
      <c r="G390" s="2">
        <v>6455.35</v>
      </c>
      <c r="H390" s="2">
        <v>5.8715299999999999</v>
      </c>
    </row>
    <row r="391" spans="1:8" x14ac:dyDescent="0.75">
      <c r="A391" s="1">
        <v>43586</v>
      </c>
      <c r="B391" s="2">
        <v>249.78630355999999</v>
      </c>
      <c r="C391" s="2">
        <v>136.26522327000001</v>
      </c>
      <c r="D391" s="2">
        <v>144.51962111</v>
      </c>
      <c r="E391" s="2">
        <v>138.34844129000001</v>
      </c>
      <c r="F391" s="2">
        <v>155.03648446</v>
      </c>
      <c r="G391" s="2">
        <v>6209.12</v>
      </c>
      <c r="H391" s="2">
        <v>5.9935200000000002</v>
      </c>
    </row>
    <row r="392" spans="1:8" x14ac:dyDescent="0.75">
      <c r="A392" s="1">
        <v>43617</v>
      </c>
      <c r="B392" s="2">
        <v>233.58105121</v>
      </c>
      <c r="C392" s="2">
        <v>138.00539083999999</v>
      </c>
      <c r="D392" s="2">
        <v>162.53369272</v>
      </c>
      <c r="E392" s="2">
        <v>131.38127127000001</v>
      </c>
      <c r="F392" s="2">
        <v>163.10094799000001</v>
      </c>
      <c r="G392" s="2">
        <v>6358.63</v>
      </c>
      <c r="H392" s="2">
        <v>5.7731500000000002</v>
      </c>
    </row>
    <row r="393" spans="1:8" x14ac:dyDescent="0.75">
      <c r="A393" s="1">
        <v>43647</v>
      </c>
      <c r="B393" s="2">
        <v>221.23411614</v>
      </c>
      <c r="C393" s="2">
        <v>146.33152174</v>
      </c>
      <c r="D393" s="2">
        <v>161.14130435000001</v>
      </c>
      <c r="E393" s="2">
        <v>137.05687817</v>
      </c>
      <c r="F393" s="2">
        <v>174.70787544999999</v>
      </c>
      <c r="G393" s="2">
        <v>6390.5</v>
      </c>
      <c r="H393" s="2">
        <v>5.5945200000000002</v>
      </c>
    </row>
    <row r="394" spans="1:8" x14ac:dyDescent="0.75">
      <c r="A394" s="1">
        <v>43678</v>
      </c>
      <c r="B394" s="2">
        <v>216.55795850999999</v>
      </c>
      <c r="C394" s="2">
        <v>140</v>
      </c>
      <c r="D394" s="2">
        <v>150.20408162999999</v>
      </c>
      <c r="E394" s="2">
        <v>140.01934023999999</v>
      </c>
      <c r="F394" s="2">
        <v>168.16576714999999</v>
      </c>
      <c r="G394" s="2">
        <v>6328.47</v>
      </c>
      <c r="H394" s="2">
        <v>5.3111199999999998</v>
      </c>
    </row>
    <row r="395" spans="1:8" x14ac:dyDescent="0.75">
      <c r="A395" s="1">
        <v>43709</v>
      </c>
      <c r="B395" s="2">
        <v>212.36304655000001</v>
      </c>
      <c r="C395" s="2">
        <v>159.81055480000001</v>
      </c>
      <c r="D395" s="2">
        <v>136.97705802999999</v>
      </c>
      <c r="E395" s="2">
        <v>153.07442707999999</v>
      </c>
      <c r="F395" s="2">
        <v>164.29621667000001</v>
      </c>
      <c r="G395" s="2">
        <v>6169.1</v>
      </c>
      <c r="H395" s="2">
        <v>5.1307499999999999</v>
      </c>
    </row>
    <row r="396" spans="1:8" x14ac:dyDescent="0.75">
      <c r="A396" s="1">
        <v>43739</v>
      </c>
      <c r="B396" s="2">
        <v>215.70878275999999</v>
      </c>
      <c r="C396" s="2">
        <v>155.72207083999999</v>
      </c>
      <c r="D396" s="2">
        <v>154.29740791</v>
      </c>
      <c r="E396" s="2">
        <v>149.16999680000001</v>
      </c>
      <c r="F396" s="2">
        <v>173.86441325000001</v>
      </c>
      <c r="G396" s="2">
        <v>6228.32</v>
      </c>
      <c r="H396" s="2">
        <v>4.851</v>
      </c>
    </row>
    <row r="397" spans="1:8" x14ac:dyDescent="0.75">
      <c r="A397" s="1">
        <v>43770</v>
      </c>
      <c r="B397" s="2">
        <v>216.58130285999999</v>
      </c>
      <c r="C397" s="2">
        <v>140.83557951</v>
      </c>
      <c r="D397" s="2">
        <v>156.12382234</v>
      </c>
      <c r="E397" s="2">
        <v>154.59050199999999</v>
      </c>
      <c r="F397" s="2">
        <v>177.81044706</v>
      </c>
      <c r="G397" s="2">
        <v>6011.83</v>
      </c>
      <c r="H397" s="2">
        <v>4.8499100000000004</v>
      </c>
    </row>
    <row r="398" spans="1:8" x14ac:dyDescent="0.75">
      <c r="A398" s="1">
        <v>43800</v>
      </c>
      <c r="B398" s="2">
        <v>235.09791129000001</v>
      </c>
      <c r="C398" s="2">
        <v>131.53638814000001</v>
      </c>
      <c r="D398" s="2">
        <v>140.56603774000001</v>
      </c>
      <c r="E398" s="2">
        <v>160.16975740999999</v>
      </c>
      <c r="F398" s="2">
        <v>166.00099546999999</v>
      </c>
      <c r="G398" s="2">
        <v>6299.54</v>
      </c>
      <c r="H398" s="2">
        <v>4.8826599999999996</v>
      </c>
    </row>
    <row r="399" spans="1:8" x14ac:dyDescent="0.75">
      <c r="A399" s="1">
        <v>43831</v>
      </c>
      <c r="B399" s="2">
        <v>217.53874021999999</v>
      </c>
      <c r="C399" s="2">
        <v>141.32985658000001</v>
      </c>
      <c r="D399" s="2">
        <v>142.50325945</v>
      </c>
      <c r="E399" s="2">
        <v>165.54717427</v>
      </c>
      <c r="F399" s="2">
        <v>161.83739668000001</v>
      </c>
      <c r="G399" s="2">
        <v>5940.05</v>
      </c>
      <c r="H399" s="2">
        <v>4.7906500000000003</v>
      </c>
    </row>
    <row r="400" spans="1:8" x14ac:dyDescent="0.75">
      <c r="A400" s="1">
        <v>43862</v>
      </c>
      <c r="B400" s="2">
        <v>216.35772829999999</v>
      </c>
      <c r="C400" s="2">
        <v>146.69260700000001</v>
      </c>
      <c r="D400" s="2">
        <v>141.24513619000001</v>
      </c>
      <c r="E400" s="2">
        <v>173.02147421999999</v>
      </c>
      <c r="F400" s="2">
        <v>153.72929873999999</v>
      </c>
      <c r="G400" s="2">
        <v>5452.7</v>
      </c>
      <c r="H400" s="2">
        <v>4.5694900000000001</v>
      </c>
    </row>
    <row r="401" spans="1:8" x14ac:dyDescent="0.75">
      <c r="A401" s="1">
        <v>43891</v>
      </c>
      <c r="B401" s="2">
        <v>219.89806325000001</v>
      </c>
      <c r="C401" s="2">
        <v>130.35019455</v>
      </c>
      <c r="D401" s="2">
        <v>145.52529182999999</v>
      </c>
      <c r="E401" s="2">
        <v>160.73358213</v>
      </c>
      <c r="F401" s="2">
        <v>153.01742809999999</v>
      </c>
      <c r="G401" s="2">
        <v>4538.93</v>
      </c>
      <c r="H401" s="2">
        <v>4.3422000000000001</v>
      </c>
    </row>
    <row r="402" spans="1:8" x14ac:dyDescent="0.75">
      <c r="A402" s="1">
        <v>43922</v>
      </c>
      <c r="B402" s="2">
        <v>190.66424554</v>
      </c>
      <c r="C402" s="2">
        <v>119.06614786</v>
      </c>
      <c r="D402" s="2">
        <v>146.30350195</v>
      </c>
      <c r="E402" s="2">
        <v>162.61924927000001</v>
      </c>
      <c r="F402" s="2">
        <v>146.39501347999999</v>
      </c>
      <c r="G402" s="2">
        <v>4716.3999999999996</v>
      </c>
      <c r="H402" s="2">
        <v>4.3303399999999996</v>
      </c>
    </row>
    <row r="403" spans="1:8" x14ac:dyDescent="0.75">
      <c r="A403" s="1">
        <v>43952</v>
      </c>
      <c r="B403" s="2">
        <v>198.29785293</v>
      </c>
      <c r="C403" s="2">
        <v>132.98835704999999</v>
      </c>
      <c r="D403" s="2">
        <v>149.35233160999999</v>
      </c>
      <c r="E403" s="2">
        <v>138.62343834999999</v>
      </c>
      <c r="F403" s="2">
        <v>142.52780111000001</v>
      </c>
      <c r="G403" s="2">
        <v>4753.6099999999997</v>
      </c>
      <c r="H403" s="2">
        <v>4.3147200000000003</v>
      </c>
    </row>
    <row r="404" spans="1:8" x14ac:dyDescent="0.75">
      <c r="A404" s="1">
        <v>43983</v>
      </c>
      <c r="B404" s="2">
        <v>193.56968316000001</v>
      </c>
      <c r="C404" s="2">
        <v>156.79172057</v>
      </c>
      <c r="D404" s="2">
        <v>169.43005181000001</v>
      </c>
      <c r="E404" s="2">
        <v>131.53025553000001</v>
      </c>
      <c r="F404" s="2">
        <v>156.08813259999999</v>
      </c>
      <c r="G404" s="2">
        <v>4905.3900000000003</v>
      </c>
      <c r="H404" s="2">
        <v>4.0905399999999998</v>
      </c>
    </row>
    <row r="405" spans="1:8" x14ac:dyDescent="0.75">
      <c r="A405" s="1">
        <v>44013</v>
      </c>
      <c r="B405" s="2">
        <v>194.06241405</v>
      </c>
      <c r="C405" s="2">
        <v>149.41329856999999</v>
      </c>
      <c r="D405" s="2">
        <v>165.625</v>
      </c>
      <c r="E405" s="2">
        <v>133.74516757000001</v>
      </c>
      <c r="F405" s="2">
        <v>157.65027878999999</v>
      </c>
      <c r="G405" s="2">
        <v>5149.63</v>
      </c>
      <c r="H405" s="2">
        <v>3.3576600000000001</v>
      </c>
    </row>
    <row r="406" spans="1:8" x14ac:dyDescent="0.75">
      <c r="A406" s="1">
        <v>44044</v>
      </c>
      <c r="B406" s="2">
        <v>196.64991282</v>
      </c>
      <c r="C406" s="2">
        <v>152.08333332999999</v>
      </c>
      <c r="D406" s="2">
        <v>161.328125</v>
      </c>
      <c r="E406" s="2">
        <v>132.47730472000001</v>
      </c>
      <c r="F406" s="2">
        <v>166.94734801000001</v>
      </c>
      <c r="G406" s="2">
        <v>5238.49</v>
      </c>
      <c r="H406" s="2">
        <v>3.2950300000000001</v>
      </c>
    </row>
    <row r="407" spans="1:8" x14ac:dyDescent="0.75">
      <c r="A407" s="1">
        <v>44075</v>
      </c>
      <c r="B407" s="2">
        <v>193.82974533000001</v>
      </c>
      <c r="C407" s="2">
        <v>157.21716515</v>
      </c>
      <c r="D407" s="2">
        <v>159.42782835</v>
      </c>
      <c r="E407" s="2">
        <v>142.45978579000001</v>
      </c>
      <c r="F407" s="2">
        <v>160.0489963</v>
      </c>
      <c r="G407" s="2">
        <v>4870.04</v>
      </c>
      <c r="H407" s="2">
        <v>3.2877800000000001</v>
      </c>
    </row>
    <row r="408" spans="1:8" x14ac:dyDescent="0.75">
      <c r="A408" s="1">
        <v>44105</v>
      </c>
      <c r="B408" s="2">
        <v>183.47160217000001</v>
      </c>
      <c r="C408" s="2">
        <v>151.55844156000001</v>
      </c>
      <c r="D408" s="2">
        <v>160.51948052</v>
      </c>
      <c r="E408" s="2">
        <v>139.78317332</v>
      </c>
      <c r="F408" s="2">
        <v>163.9165328</v>
      </c>
      <c r="G408" s="2">
        <v>5128.2299999999996</v>
      </c>
      <c r="H408" s="2">
        <v>3.32525</v>
      </c>
    </row>
    <row r="409" spans="1:8" x14ac:dyDescent="0.75">
      <c r="A409" s="1">
        <v>44136</v>
      </c>
      <c r="B409" s="2">
        <v>181.33573874999999</v>
      </c>
      <c r="C409" s="2">
        <v>153.43709468</v>
      </c>
      <c r="D409" s="2">
        <v>165.06493506000001</v>
      </c>
      <c r="E409" s="2">
        <v>150.41121412999999</v>
      </c>
      <c r="F409" s="2">
        <v>161.66314188999999</v>
      </c>
      <c r="G409" s="2">
        <v>5612.42</v>
      </c>
      <c r="H409" s="2">
        <v>3.03742</v>
      </c>
    </row>
    <row r="410" spans="1:8" x14ac:dyDescent="0.75">
      <c r="A410" s="1">
        <v>44166</v>
      </c>
      <c r="B410" s="2">
        <v>190.05839058999999</v>
      </c>
      <c r="C410" s="2">
        <v>152.46753247000001</v>
      </c>
      <c r="D410" s="2">
        <v>165.84415584000001</v>
      </c>
      <c r="E410" s="2">
        <v>149.7361751</v>
      </c>
      <c r="F410" s="2">
        <v>164.76484331</v>
      </c>
      <c r="G410" s="2">
        <v>5979.07</v>
      </c>
      <c r="H410" s="2">
        <v>3.04542</v>
      </c>
    </row>
    <row r="411" spans="1:8" x14ac:dyDescent="0.75">
      <c r="A411" s="1">
        <v>44197</v>
      </c>
      <c r="B411" s="2">
        <v>181.96736268999999</v>
      </c>
      <c r="C411" s="2">
        <v>150.38759690000001</v>
      </c>
      <c r="D411" s="2">
        <v>154.07503234000001</v>
      </c>
      <c r="E411" s="2">
        <v>156.90489454999999</v>
      </c>
      <c r="F411" s="2">
        <v>153.47175726</v>
      </c>
      <c r="G411" s="2">
        <v>5862.35</v>
      </c>
      <c r="H411" s="2">
        <v>3.0346899999999999</v>
      </c>
    </row>
    <row r="412" spans="1:8" x14ac:dyDescent="0.75">
      <c r="A412" s="1">
        <v>44228</v>
      </c>
      <c r="B412" s="2">
        <v>177.12517604000001</v>
      </c>
      <c r="C412" s="2">
        <v>150.51813472000001</v>
      </c>
      <c r="D412" s="2">
        <v>151.3618677</v>
      </c>
      <c r="E412" s="2">
        <v>156.41926634999999</v>
      </c>
      <c r="F412" s="2">
        <v>141.70240652999999</v>
      </c>
      <c r="G412" s="2">
        <v>6241.8</v>
      </c>
      <c r="H412" s="2">
        <v>2.7967499999999998</v>
      </c>
    </row>
    <row r="413" spans="1:8" x14ac:dyDescent="0.75">
      <c r="A413" s="1">
        <v>44256</v>
      </c>
      <c r="B413" s="2">
        <v>187.87382901999999</v>
      </c>
      <c r="C413" s="2">
        <v>148.96373057</v>
      </c>
      <c r="D413" s="2">
        <v>151.55440415000001</v>
      </c>
      <c r="E413" s="2">
        <v>141.36652647</v>
      </c>
      <c r="F413" s="2">
        <v>134.85718954999999</v>
      </c>
      <c r="G413" s="2">
        <v>5985.52</v>
      </c>
      <c r="H413" s="2">
        <v>2.7936399999999999</v>
      </c>
    </row>
    <row r="414" spans="1:8" x14ac:dyDescent="0.75">
      <c r="A414" s="1">
        <v>44287</v>
      </c>
      <c r="B414" s="2">
        <v>220.40696796</v>
      </c>
      <c r="C414" s="2">
        <v>147.27979275000001</v>
      </c>
      <c r="D414" s="2">
        <v>147.92746113999999</v>
      </c>
      <c r="E414" s="2">
        <v>142.44867736</v>
      </c>
      <c r="F414" s="2">
        <v>134.00167766000001</v>
      </c>
      <c r="G414" s="2">
        <v>5995.62</v>
      </c>
      <c r="H414" s="2">
        <v>2.7907000000000002</v>
      </c>
    </row>
    <row r="415" spans="1:8" x14ac:dyDescent="0.75">
      <c r="A415" s="1">
        <v>44317</v>
      </c>
      <c r="B415" s="2">
        <v>227.51262899</v>
      </c>
      <c r="C415" s="2">
        <v>129.40414508000001</v>
      </c>
      <c r="D415" s="2">
        <v>133.41968911999999</v>
      </c>
      <c r="E415" s="2">
        <v>124.41572426</v>
      </c>
      <c r="F415" s="2">
        <v>119.92965108999999</v>
      </c>
      <c r="G415" s="2">
        <v>5947.46</v>
      </c>
      <c r="H415" s="2">
        <v>2.78864</v>
      </c>
    </row>
    <row r="416" spans="1:8" x14ac:dyDescent="0.75">
      <c r="A416" s="1">
        <v>44348</v>
      </c>
      <c r="B416" s="2">
        <v>198.49801814</v>
      </c>
      <c r="C416" s="2">
        <v>139.24870465999999</v>
      </c>
      <c r="D416" s="2">
        <v>161.39896372999999</v>
      </c>
      <c r="E416" s="2">
        <v>112.70754947</v>
      </c>
      <c r="F416" s="2">
        <v>129.29146965000001</v>
      </c>
      <c r="G416" s="2">
        <v>5985.49</v>
      </c>
      <c r="H416" s="2">
        <v>2.8001800000000001</v>
      </c>
    </row>
    <row r="417" spans="1:8" x14ac:dyDescent="0.75">
      <c r="A417" s="1">
        <v>44378</v>
      </c>
      <c r="B417" s="2">
        <v>188.48253786000001</v>
      </c>
      <c r="C417" s="2">
        <v>142.94954722</v>
      </c>
      <c r="D417" s="2">
        <v>160.80206985999999</v>
      </c>
      <c r="E417" s="2">
        <v>123.03573165</v>
      </c>
      <c r="F417" s="2">
        <v>134.16282315000001</v>
      </c>
      <c r="G417" s="2">
        <v>6070.04</v>
      </c>
      <c r="H417" s="2">
        <v>2.8348300000000002</v>
      </c>
    </row>
    <row r="418" spans="1:8" x14ac:dyDescent="0.75">
      <c r="A418" s="1">
        <v>44409</v>
      </c>
      <c r="B418" s="2">
        <v>192.46020252</v>
      </c>
      <c r="C418" s="2">
        <v>128.71927554999999</v>
      </c>
      <c r="D418" s="2">
        <v>137.51617075999999</v>
      </c>
      <c r="E418" s="2">
        <v>124.75979753999999</v>
      </c>
      <c r="F418" s="2">
        <v>138.65442895000001</v>
      </c>
      <c r="G418" s="2">
        <v>6150.3</v>
      </c>
      <c r="H418" s="2">
        <v>2.7812399999999999</v>
      </c>
    </row>
    <row r="419" spans="1:8" x14ac:dyDescent="0.75">
      <c r="A419" s="1">
        <v>44440</v>
      </c>
      <c r="B419" s="2">
        <v>189.49343049999999</v>
      </c>
      <c r="C419" s="2">
        <v>155.23932730000001</v>
      </c>
      <c r="D419" s="2">
        <v>141.88481675</v>
      </c>
      <c r="E419" s="2">
        <v>128.42010658999999</v>
      </c>
      <c r="F419" s="2">
        <v>128.29765209000001</v>
      </c>
      <c r="G419" s="2">
        <v>6286.94</v>
      </c>
      <c r="H419" s="2">
        <v>2.7936299999999998</v>
      </c>
    </row>
    <row r="420" spans="1:8" x14ac:dyDescent="0.75">
      <c r="A420" s="1">
        <v>44470</v>
      </c>
      <c r="B420" s="2">
        <v>195.46369713000001</v>
      </c>
      <c r="C420" s="2">
        <v>148.96640826999999</v>
      </c>
      <c r="D420" s="2">
        <v>145.09043928</v>
      </c>
      <c r="E420" s="2">
        <v>125.52929469</v>
      </c>
      <c r="F420" s="2">
        <v>134.28417851</v>
      </c>
      <c r="G420" s="2">
        <v>6591.35</v>
      </c>
      <c r="H420" s="2">
        <v>2.7974600000000001</v>
      </c>
    </row>
    <row r="421" spans="1:8" x14ac:dyDescent="0.75">
      <c r="A421" s="1">
        <v>44501</v>
      </c>
      <c r="B421" s="2">
        <v>200.97600889</v>
      </c>
      <c r="C421" s="2">
        <v>155.14138817</v>
      </c>
      <c r="D421" s="2">
        <v>170.6940874</v>
      </c>
      <c r="E421" s="2">
        <v>129.73259820999999</v>
      </c>
      <c r="F421" s="2">
        <v>139.96943074000001</v>
      </c>
      <c r="G421" s="2">
        <v>6533.93</v>
      </c>
      <c r="H421" s="2">
        <v>2.7904200000000001</v>
      </c>
    </row>
    <row r="422" spans="1:8" x14ac:dyDescent="0.75">
      <c r="A422" s="1">
        <v>44531</v>
      </c>
      <c r="B422" s="2">
        <v>216.27801706</v>
      </c>
      <c r="C422" s="2">
        <v>141.07830551999999</v>
      </c>
      <c r="D422" s="2">
        <v>144.67265724999999</v>
      </c>
      <c r="E422" s="2">
        <v>129.20836510000001</v>
      </c>
      <c r="F422" s="2">
        <v>132.02810242999999</v>
      </c>
      <c r="G422" s="2">
        <v>6581.48</v>
      </c>
      <c r="H422" s="2">
        <v>2.7749999999999999</v>
      </c>
    </row>
    <row r="423" spans="1:8" x14ac:dyDescent="0.75">
      <c r="A423" s="1">
        <v>44562</v>
      </c>
      <c r="B423" s="2">
        <v>209.55632772000001</v>
      </c>
      <c r="C423" s="2">
        <v>151.78117047999999</v>
      </c>
      <c r="D423" s="2">
        <v>143.12977099</v>
      </c>
      <c r="E423" s="2">
        <v>139.05256661000001</v>
      </c>
      <c r="F423" s="2">
        <v>129.76426487000001</v>
      </c>
      <c r="G423" s="2">
        <v>6631.15</v>
      </c>
      <c r="H423" s="2">
        <v>2.7803100000000001</v>
      </c>
    </row>
    <row r="424" spans="1:8" x14ac:dyDescent="0.75">
      <c r="A424" s="1">
        <v>44593</v>
      </c>
      <c r="B424" s="2">
        <v>200.03144829999999</v>
      </c>
      <c r="C424" s="2">
        <v>157.78061224000001</v>
      </c>
      <c r="D424" s="2">
        <v>155.10204082000001</v>
      </c>
      <c r="E424" s="2">
        <v>141.28439646999999</v>
      </c>
      <c r="F424" s="2">
        <v>132.43370583000001</v>
      </c>
      <c r="G424" s="2">
        <v>6888.17</v>
      </c>
      <c r="H424" s="2">
        <v>2.8206899999999999</v>
      </c>
    </row>
    <row r="425" spans="1:8" x14ac:dyDescent="0.75">
      <c r="A425" s="1">
        <v>44621</v>
      </c>
      <c r="B425" s="2">
        <v>205.32203723999999</v>
      </c>
      <c r="C425" s="2">
        <v>154.14012739</v>
      </c>
      <c r="D425" s="2">
        <v>152.99363056999999</v>
      </c>
      <c r="E425" s="2">
        <v>135.55373462</v>
      </c>
      <c r="F425" s="2">
        <v>129.78475655</v>
      </c>
      <c r="G425" s="2">
        <v>7071.44</v>
      </c>
      <c r="H425" s="2">
        <v>2.7883300000000002</v>
      </c>
    </row>
    <row r="426" spans="1:8" x14ac:dyDescent="0.75">
      <c r="A426" s="1">
        <v>44652</v>
      </c>
      <c r="B426" s="2">
        <v>239.24427648</v>
      </c>
      <c r="C426" s="2">
        <v>145.08301405</v>
      </c>
      <c r="D426" s="2">
        <v>149.29757344000001</v>
      </c>
      <c r="E426" s="2">
        <v>141.72001227000001</v>
      </c>
      <c r="F426" s="2">
        <v>137.50297072999999</v>
      </c>
      <c r="G426" s="2">
        <v>7228.91</v>
      </c>
      <c r="H426" s="2">
        <v>3.48922</v>
      </c>
    </row>
    <row r="427" spans="1:8" x14ac:dyDescent="0.75">
      <c r="A427" s="1">
        <v>44682</v>
      </c>
      <c r="B427" s="2">
        <v>234.12540566000001</v>
      </c>
      <c r="C427" s="2">
        <v>147.19387755</v>
      </c>
      <c r="D427" s="2">
        <v>152.29591837000001</v>
      </c>
      <c r="E427" s="2">
        <v>127.52830938</v>
      </c>
      <c r="F427" s="2">
        <v>132.07012879999999</v>
      </c>
      <c r="G427" s="2">
        <v>7148.97</v>
      </c>
      <c r="H427" s="2">
        <v>2.7878099999999999</v>
      </c>
    </row>
    <row r="428" spans="1:8" x14ac:dyDescent="0.75">
      <c r="A428" s="1">
        <v>44713</v>
      </c>
      <c r="B428" s="2">
        <v>206.61160408999999</v>
      </c>
      <c r="C428" s="2">
        <v>149.61928933999999</v>
      </c>
      <c r="D428" s="2">
        <v>156.97969542999999</v>
      </c>
      <c r="E428" s="2">
        <v>137.50116581</v>
      </c>
      <c r="F428" s="2">
        <v>138.54025068000001</v>
      </c>
      <c r="G428" s="2">
        <v>6911.58</v>
      </c>
      <c r="H428" s="2">
        <v>2.7944599999999999</v>
      </c>
    </row>
    <row r="429" spans="1:8" x14ac:dyDescent="0.75">
      <c r="A429" s="1">
        <v>44743</v>
      </c>
      <c r="B429" s="2">
        <v>200.15645125</v>
      </c>
      <c r="C429" s="2">
        <v>148.72122762000001</v>
      </c>
      <c r="D429" s="2">
        <v>155.7544757</v>
      </c>
      <c r="E429" s="2">
        <v>135.3263718</v>
      </c>
      <c r="F429" s="2">
        <v>144.69146404</v>
      </c>
      <c r="G429" s="2">
        <v>6951.12</v>
      </c>
      <c r="H429" s="2">
        <v>2.7984399999999998</v>
      </c>
    </row>
    <row r="430" spans="1:8" x14ac:dyDescent="0.75">
      <c r="A430" s="1">
        <v>44774</v>
      </c>
      <c r="B430" s="2">
        <v>201.81715317999999</v>
      </c>
      <c r="C430" s="2">
        <v>149.35897435999999</v>
      </c>
      <c r="D430" s="2">
        <v>137.43589743999999</v>
      </c>
      <c r="E430" s="2">
        <v>135.44760629999999</v>
      </c>
      <c r="F430" s="2">
        <v>138.70684324999999</v>
      </c>
      <c r="G430" s="2">
        <v>7178.59</v>
      </c>
      <c r="H430" s="2">
        <v>3.1223299999999998</v>
      </c>
    </row>
    <row r="431" spans="1:8" x14ac:dyDescent="0.75">
      <c r="A431" s="1">
        <v>44805</v>
      </c>
      <c r="B431" s="2">
        <v>198.13708998999999</v>
      </c>
      <c r="C431" s="2">
        <v>151.98973042</v>
      </c>
      <c r="D431" s="2">
        <v>144.03080872999999</v>
      </c>
      <c r="E431" s="2">
        <v>145.95882101000001</v>
      </c>
      <c r="F431" s="2">
        <v>140.74823953999999</v>
      </c>
      <c r="G431" s="2">
        <v>7040.8</v>
      </c>
      <c r="H431" s="2">
        <v>3.8415499999999998</v>
      </c>
    </row>
    <row r="432" spans="1:8" x14ac:dyDescent="0.75">
      <c r="A432" s="1">
        <v>44835</v>
      </c>
      <c r="B432" s="2">
        <v>202.70726796</v>
      </c>
      <c r="C432" s="2">
        <v>150.63938619000001</v>
      </c>
      <c r="D432" s="2">
        <v>146.93094629000001</v>
      </c>
      <c r="E432" s="2">
        <v>138.03188127000001</v>
      </c>
      <c r="F432" s="2">
        <v>140.82061074999999</v>
      </c>
      <c r="G432" s="2">
        <v>7098.89</v>
      </c>
      <c r="H432" s="2">
        <v>4.2414100000000001</v>
      </c>
    </row>
    <row r="433" spans="1:8" x14ac:dyDescent="0.75">
      <c r="A433" s="1">
        <v>44866</v>
      </c>
      <c r="B433" s="2">
        <v>203.53469221</v>
      </c>
      <c r="C433" s="2">
        <v>124.67866324000001</v>
      </c>
      <c r="D433" s="2">
        <v>153.85604112999999</v>
      </c>
      <c r="E433" s="2">
        <v>134.55690143999999</v>
      </c>
      <c r="F433" s="2">
        <v>140.24790909000001</v>
      </c>
      <c r="G433" s="2">
        <v>7081.31</v>
      </c>
      <c r="H433" s="2">
        <v>4.8053900000000001</v>
      </c>
    </row>
    <row r="434" spans="1:8" x14ac:dyDescent="0.75">
      <c r="A434" s="1">
        <v>44896</v>
      </c>
      <c r="B434" s="2">
        <v>217.75590052000001</v>
      </c>
      <c r="C434" s="2">
        <v>139.56466069000001</v>
      </c>
      <c r="D434" s="2">
        <v>140.20486556</v>
      </c>
      <c r="E434" s="2">
        <v>139.10313235000001</v>
      </c>
      <c r="F434" s="2">
        <v>138.34477734000001</v>
      </c>
      <c r="G434" s="2">
        <v>6850.62</v>
      </c>
      <c r="H434" s="2">
        <v>5.0139699999999996</v>
      </c>
    </row>
    <row r="435" spans="1:8" x14ac:dyDescent="0.75">
      <c r="A435" s="1">
        <v>44927</v>
      </c>
      <c r="B435" s="2">
        <v>208.22173298000001</v>
      </c>
      <c r="C435" s="2">
        <v>161.18836915</v>
      </c>
      <c r="D435" s="2">
        <v>142.85714286000001</v>
      </c>
      <c r="E435" s="2">
        <v>145.07690887999999</v>
      </c>
      <c r="F435" s="2">
        <v>133.51196160999999</v>
      </c>
      <c r="G435" s="2">
        <v>6839.34</v>
      </c>
      <c r="H435" s="2">
        <v>5.4110800000000001</v>
      </c>
    </row>
    <row r="436" spans="1:8" x14ac:dyDescent="0.75">
      <c r="A436" s="1">
        <v>44958</v>
      </c>
      <c r="B436" s="2">
        <v>201.17864774</v>
      </c>
      <c r="C436" s="2">
        <v>149.55863808000001</v>
      </c>
      <c r="D436" s="2">
        <v>152.71122320000001</v>
      </c>
      <c r="E436" s="2">
        <v>130.2709538</v>
      </c>
      <c r="F436" s="2">
        <v>128.10434986999999</v>
      </c>
      <c r="G436" s="2">
        <v>6843.24</v>
      </c>
      <c r="H436" s="2">
        <v>5.6190600000000002</v>
      </c>
    </row>
    <row r="437" spans="1:8" x14ac:dyDescent="0.75">
      <c r="A437" s="1">
        <v>44986</v>
      </c>
      <c r="B437" s="2">
        <v>215.33381954000001</v>
      </c>
      <c r="C437" s="2">
        <v>129.76040352999999</v>
      </c>
      <c r="D437" s="2">
        <v>135.30895333999999</v>
      </c>
      <c r="E437" s="2">
        <v>124.5059584</v>
      </c>
      <c r="F437" s="2">
        <v>121.50788609</v>
      </c>
      <c r="G437" s="2">
        <v>6805.28</v>
      </c>
      <c r="H437" s="2">
        <v>5.5456200000000004</v>
      </c>
    </row>
    <row r="438" spans="1:8" x14ac:dyDescent="0.75">
      <c r="A438" s="1">
        <v>45017</v>
      </c>
      <c r="B438" s="2">
        <v>242.91884001</v>
      </c>
      <c r="C438" s="2">
        <v>129.00378309999999</v>
      </c>
      <c r="D438" s="2">
        <v>130.13871374999999</v>
      </c>
      <c r="E438" s="2">
        <v>118.54172579999999</v>
      </c>
      <c r="F438" s="2">
        <v>121.56740636000001</v>
      </c>
      <c r="G438" s="2">
        <v>6915.72</v>
      </c>
      <c r="H438" s="2">
        <v>5.7218900000000001</v>
      </c>
    </row>
    <row r="439" spans="1:8" x14ac:dyDescent="0.75">
      <c r="A439" s="1">
        <v>45047</v>
      </c>
      <c r="B439" s="2">
        <v>223.51048170000001</v>
      </c>
      <c r="C439" s="2">
        <v>140.85750315000001</v>
      </c>
      <c r="D439" s="2">
        <v>141.23581336999999</v>
      </c>
      <c r="E439" s="2">
        <v>117.70996469000001</v>
      </c>
      <c r="F439" s="2">
        <v>123.04907123</v>
      </c>
      <c r="G439" s="2">
        <v>6633.26</v>
      </c>
      <c r="H439" s="2">
        <v>5.6033200000000001</v>
      </c>
    </row>
    <row r="440" spans="1:8" x14ac:dyDescent="0.75">
      <c r="A440" s="1">
        <v>45078</v>
      </c>
      <c r="B440" s="2">
        <v>222.92251171000001</v>
      </c>
      <c r="C440" s="2">
        <v>133.37531486</v>
      </c>
      <c r="D440" s="2">
        <v>149.87405541999999</v>
      </c>
      <c r="E440" s="2">
        <v>115.94535921000001</v>
      </c>
      <c r="F440" s="2">
        <v>130.04477356999999</v>
      </c>
      <c r="G440" s="2">
        <v>6661.88</v>
      </c>
      <c r="H440" s="2">
        <v>5.93309</v>
      </c>
    </row>
    <row r="441" spans="1:8" x14ac:dyDescent="0.75">
      <c r="A441" s="1">
        <v>45108</v>
      </c>
      <c r="B441" s="2">
        <v>203.33806185</v>
      </c>
      <c r="C441" s="2">
        <v>133.20659061999999</v>
      </c>
      <c r="D441" s="2">
        <v>137.13561469999999</v>
      </c>
      <c r="E441" s="2">
        <v>118.65598942</v>
      </c>
      <c r="F441" s="2">
        <v>134.02148645</v>
      </c>
      <c r="G441" s="2">
        <v>6931.36</v>
      </c>
      <c r="H441" s="2">
        <v>5.7040899999999999</v>
      </c>
    </row>
    <row r="442" spans="1:8" x14ac:dyDescent="0.75">
      <c r="A442" s="1">
        <v>45139</v>
      </c>
      <c r="B442" s="2">
        <v>204.07191019999999</v>
      </c>
      <c r="C442" s="2">
        <v>136.62864385</v>
      </c>
      <c r="D442" s="2">
        <v>122.43346008</v>
      </c>
      <c r="E442" s="2">
        <v>119.90250774</v>
      </c>
      <c r="F442" s="2">
        <v>129.70738220000001</v>
      </c>
      <c r="G442" s="2">
        <v>6953.26</v>
      </c>
      <c r="H442" s="2">
        <v>5.56759</v>
      </c>
    </row>
    <row r="443" spans="1:8" x14ac:dyDescent="0.75">
      <c r="A443" s="1">
        <v>45170</v>
      </c>
      <c r="B443" s="2">
        <v>201.05967118999999</v>
      </c>
      <c r="C443" s="2">
        <v>150.62972292000001</v>
      </c>
      <c r="D443" s="2">
        <v>134.50881612000001</v>
      </c>
      <c r="E443" s="2">
        <v>131.17890831</v>
      </c>
      <c r="F443" s="2">
        <v>132.97761342999999</v>
      </c>
      <c r="G443" s="2">
        <v>6939.8919999999998</v>
      </c>
      <c r="H443" s="2">
        <v>5.6422499999999998</v>
      </c>
    </row>
    <row r="444" spans="1:8" x14ac:dyDescent="0.75">
      <c r="A444" s="1">
        <v>45200</v>
      </c>
      <c r="B444" s="2">
        <v>207.54133616999999</v>
      </c>
      <c r="C444" s="2">
        <v>139.11949686</v>
      </c>
      <c r="D444" s="2">
        <v>146.66666667000001</v>
      </c>
      <c r="E444" s="2">
        <v>133.09975123999999</v>
      </c>
      <c r="F444" s="2">
        <v>137.78081757999999</v>
      </c>
      <c r="G444" s="2">
        <v>6752.2110000000002</v>
      </c>
      <c r="H444" s="2">
        <v>5.84619</v>
      </c>
    </row>
    <row r="445" spans="1:8" x14ac:dyDescent="0.75">
      <c r="A445" s="1">
        <v>45231</v>
      </c>
      <c r="B445" s="2">
        <v>207.87304601</v>
      </c>
      <c r="C445" s="2">
        <v>115.08678238</v>
      </c>
      <c r="D445" s="2">
        <v>132.71028036999999</v>
      </c>
      <c r="E445" s="2">
        <v>129.27509605</v>
      </c>
      <c r="F445" s="2">
        <v>132.36337798</v>
      </c>
      <c r="G445" s="2">
        <v>7080.741</v>
      </c>
      <c r="H445" s="2">
        <v>5.9208499999999997</v>
      </c>
    </row>
    <row r="446" spans="1:8" x14ac:dyDescent="0.75">
      <c r="A446" s="1">
        <v>45261</v>
      </c>
      <c r="B446" s="2">
        <v>218.14754354999999</v>
      </c>
      <c r="C446" s="2">
        <v>132.29036295</v>
      </c>
      <c r="D446" s="2">
        <v>127.15894869</v>
      </c>
      <c r="E446" s="2">
        <v>137.15880358999999</v>
      </c>
      <c r="F446" s="2">
        <v>125.79591757999999</v>
      </c>
      <c r="G446" s="2">
        <v>7272.7969999999996</v>
      </c>
      <c r="H446" s="2">
        <v>5.8469600000000002</v>
      </c>
    </row>
    <row r="447" spans="1:8" x14ac:dyDescent="0.75">
      <c r="A447" s="1">
        <v>45292</v>
      </c>
      <c r="B447" s="2">
        <v>210.47660798000001</v>
      </c>
      <c r="C447" s="2">
        <v>161.03896104</v>
      </c>
      <c r="D447" s="2">
        <v>144.41558441999999</v>
      </c>
      <c r="E447" s="2">
        <v>165.88513849</v>
      </c>
      <c r="F447" s="2">
        <v>146.74335883000001</v>
      </c>
      <c r="G447" s="2">
        <v>7207.9409999999998</v>
      </c>
      <c r="H447" s="2">
        <v>5.8031899999999998</v>
      </c>
    </row>
    <row r="448" spans="1:8" x14ac:dyDescent="0.75">
      <c r="A448" s="1">
        <v>45323</v>
      </c>
      <c r="B448" s="2">
        <v>214.13966565000001</v>
      </c>
      <c r="C448" s="2">
        <v>147.79792746000001</v>
      </c>
      <c r="D448" s="2">
        <v>164.89637306</v>
      </c>
      <c r="E448" s="2">
        <v>146.14601267</v>
      </c>
      <c r="F448" s="2">
        <v>136.94661533999999</v>
      </c>
      <c r="G448" s="2">
        <v>7316.1109999999999</v>
      </c>
      <c r="H448" s="2">
        <v>5.7022599999999999</v>
      </c>
    </row>
    <row r="449" spans="1:8" x14ac:dyDescent="0.75">
      <c r="A449" s="1">
        <v>45352</v>
      </c>
      <c r="B449" s="2">
        <v>235.39061534999999</v>
      </c>
      <c r="C449" s="2">
        <v>127.46113990000001</v>
      </c>
      <c r="D449" s="2">
        <v>140.41450777</v>
      </c>
      <c r="E449" s="2">
        <v>140.07896059999999</v>
      </c>
      <c r="F449" s="2">
        <v>134.54641373000001</v>
      </c>
      <c r="G449" s="2">
        <v>7288.8130000000001</v>
      </c>
      <c r="H449" s="2">
        <v>5.9027700000000003</v>
      </c>
    </row>
    <row r="450" spans="1:8" x14ac:dyDescent="0.75">
      <c r="A450" s="1">
        <v>45383</v>
      </c>
      <c r="B450" s="2">
        <v>236.29110886000001</v>
      </c>
      <c r="C450" s="2">
        <v>137.22438392000001</v>
      </c>
      <c r="D450" s="2">
        <v>143.70946821999999</v>
      </c>
      <c r="E450" s="2">
        <v>142.45412164000001</v>
      </c>
      <c r="F450" s="2">
        <v>141.97172165000001</v>
      </c>
      <c r="G450" s="2">
        <v>7234.1970000000001</v>
      </c>
      <c r="H450" s="2">
        <v>6.0691699999999997</v>
      </c>
    </row>
    <row r="451" spans="1:8" x14ac:dyDescent="0.75">
      <c r="A451" s="1">
        <v>45413</v>
      </c>
      <c r="B451" s="2">
        <v>228.11272528000001</v>
      </c>
      <c r="C451" s="2">
        <v>158.84665792999999</v>
      </c>
      <c r="D451" s="2">
        <v>146.13368283</v>
      </c>
      <c r="E451" s="2">
        <v>136.4242965</v>
      </c>
      <c r="F451" s="2">
        <v>144.76790317000001</v>
      </c>
      <c r="G451" s="2">
        <v>6970.7359999999999</v>
      </c>
      <c r="H451" s="2">
        <v>6.1044600000000004</v>
      </c>
    </row>
    <row r="452" spans="1:8" x14ac:dyDescent="0.75">
      <c r="A452" s="1">
        <v>45444</v>
      </c>
      <c r="B452" s="2">
        <v>228.982235</v>
      </c>
      <c r="C452" s="2">
        <v>140.47619048000001</v>
      </c>
      <c r="D452" s="2">
        <v>165.03759398</v>
      </c>
      <c r="E452" s="2">
        <v>134.53977312999999</v>
      </c>
      <c r="F452" s="2">
        <v>161.04489258000001</v>
      </c>
      <c r="G452" s="2">
        <v>7063.5770000000002</v>
      </c>
      <c r="H452" s="2">
        <v>6.1510100000000003</v>
      </c>
    </row>
    <row r="453" spans="1:8" x14ac:dyDescent="0.75">
      <c r="A453" s="1">
        <v>45474</v>
      </c>
      <c r="B453" s="2">
        <v>212.41125012000001</v>
      </c>
      <c r="C453" s="2">
        <v>139.65087281999999</v>
      </c>
      <c r="D453" s="2">
        <v>153.11720697999999</v>
      </c>
      <c r="E453" s="2">
        <v>141.27229803</v>
      </c>
      <c r="F453" s="2">
        <v>166.74413480999999</v>
      </c>
      <c r="G453" s="2">
        <v>7255.7619999999997</v>
      </c>
      <c r="H453" s="2">
        <v>6.2227800000000002</v>
      </c>
    </row>
    <row r="454" spans="1:8" x14ac:dyDescent="0.75">
      <c r="A454" s="1">
        <v>45505</v>
      </c>
      <c r="B454" s="2">
        <v>215.93207527000001</v>
      </c>
      <c r="C454" s="2">
        <v>144.41656211</v>
      </c>
      <c r="D454" s="2">
        <v>123.08657465</v>
      </c>
      <c r="E454" s="2">
        <v>134.26383722</v>
      </c>
      <c r="F454" s="2">
        <v>155.92796774000001</v>
      </c>
      <c r="G454" s="2">
        <v>7670.7330000000002</v>
      </c>
      <c r="H454" s="2">
        <v>6.3510200000000001</v>
      </c>
    </row>
    <row r="455" spans="1:8" x14ac:dyDescent="0.75">
      <c r="A455" s="1">
        <v>45536</v>
      </c>
      <c r="B455" s="2">
        <v>210.61295147999999</v>
      </c>
      <c r="C455" s="2">
        <v>163.86449184</v>
      </c>
      <c r="D455" s="2">
        <v>156.46173149000001</v>
      </c>
      <c r="E455" s="2">
        <v>152.62055520999999</v>
      </c>
      <c r="F455" s="2">
        <v>169.36089967999999</v>
      </c>
      <c r="G455" s="2">
        <v>7527.9290000000001</v>
      </c>
      <c r="H455" s="2">
        <v>6.1334299999999997</v>
      </c>
    </row>
    <row r="456" spans="1:8" x14ac:dyDescent="0.75">
      <c r="A456" s="1">
        <v>45566</v>
      </c>
      <c r="B456" s="2">
        <v>210.58940361000001</v>
      </c>
      <c r="C456" s="2">
        <v>144.66750314000001</v>
      </c>
      <c r="D456" s="2">
        <v>146.54956085000001</v>
      </c>
      <c r="E456" s="2">
        <v>157.79177393000001</v>
      </c>
      <c r="F456" s="2">
        <v>165.36502296</v>
      </c>
      <c r="G456" s="2">
        <v>7574.0190000000002</v>
      </c>
      <c r="H456" s="2">
        <v>5.9126700000000003</v>
      </c>
    </row>
    <row r="457" spans="1:8" x14ac:dyDescent="0.75">
      <c r="A457" s="1">
        <v>45597</v>
      </c>
      <c r="B457" s="2">
        <v>209.66871896000001</v>
      </c>
      <c r="C457" s="2">
        <v>127.72898369000001</v>
      </c>
      <c r="D457" s="2">
        <v>138.64491844</v>
      </c>
      <c r="E457" s="2">
        <v>160.23702564999999</v>
      </c>
      <c r="F457" s="2">
        <v>151.08279199</v>
      </c>
      <c r="G457" s="2">
        <v>7114.2659999999996</v>
      </c>
      <c r="H457" s="2">
        <v>6.1677099999999996</v>
      </c>
    </row>
    <row r="458" spans="1:8" x14ac:dyDescent="0.75">
      <c r="A458" s="1">
        <v>45627</v>
      </c>
      <c r="B458" s="2">
        <v>221.99624772999999</v>
      </c>
      <c r="C458" s="2">
        <v>154.44305381999999</v>
      </c>
      <c r="D458" s="2">
        <v>134.79349185999999</v>
      </c>
      <c r="E458" s="2">
        <v>179.01233023</v>
      </c>
      <c r="F458" s="2">
        <v>152.27589090999999</v>
      </c>
      <c r="G458" s="2">
        <v>7079.9049999999997</v>
      </c>
      <c r="H458" s="2">
        <v>6.1775900000000004</v>
      </c>
    </row>
    <row r="459" spans="1:8" x14ac:dyDescent="0.75">
      <c r="A459" s="1">
        <v>45658</v>
      </c>
      <c r="B459" s="2">
        <v>211.54240698000001</v>
      </c>
      <c r="C459" s="2">
        <v>140.05006258</v>
      </c>
      <c r="D459" s="2">
        <v>148.93617021</v>
      </c>
      <c r="E459" s="2">
        <v>159.61636922</v>
      </c>
      <c r="F459" s="2">
        <v>155.38835294</v>
      </c>
      <c r="G459" s="2">
        <v>7109.1959999999999</v>
      </c>
      <c r="H459" s="2">
        <v>5.8061499999999997</v>
      </c>
    </row>
    <row r="460" spans="1:8" x14ac:dyDescent="0.75">
      <c r="A460" s="1">
        <v>45689</v>
      </c>
      <c r="B460" s="2">
        <v>218.48595193</v>
      </c>
      <c r="C460" s="2">
        <v>147.30913641999999</v>
      </c>
      <c r="D460" s="2">
        <v>162.82853567000001</v>
      </c>
      <c r="E460" s="2">
        <v>148.27294447</v>
      </c>
      <c r="F460" s="2">
        <v>155.47856507</v>
      </c>
      <c r="G460" s="2">
        <v>6270.5969999999998</v>
      </c>
      <c r="H460" s="2">
        <v>5.72607</v>
      </c>
    </row>
    <row r="461" spans="1:8" x14ac:dyDescent="0.75">
      <c r="A461" s="1">
        <v>45717</v>
      </c>
      <c r="B461" s="2">
        <v>248.27762322000001</v>
      </c>
      <c r="C461" s="2">
        <v>125.5</v>
      </c>
      <c r="D461" s="2">
        <v>137.125</v>
      </c>
      <c r="E461" s="2">
        <v>146.43505857</v>
      </c>
      <c r="F461" s="2">
        <v>153.08081908</v>
      </c>
      <c r="G461" s="2">
        <v>6510.62</v>
      </c>
      <c r="H461" s="2">
        <v>6.6895899999999999</v>
      </c>
    </row>
    <row r="462" spans="1:8" x14ac:dyDescent="0.75">
      <c r="A462" s="1">
        <v>45748</v>
      </c>
      <c r="B462" s="2">
        <v>235.5481254</v>
      </c>
      <c r="C462" s="2">
        <v>145.75</v>
      </c>
      <c r="D462" s="2">
        <v>149.31163955</v>
      </c>
      <c r="E462" s="2">
        <v>141.94261508</v>
      </c>
      <c r="F462" s="2">
        <v>144.50200308999999</v>
      </c>
      <c r="G462" s="2">
        <v>6766.7950000000001</v>
      </c>
      <c r="H462" s="2">
        <v>5.9035299999999999</v>
      </c>
    </row>
    <row r="463" spans="1:8" x14ac:dyDescent="0.75">
      <c r="A463" s="1">
        <v>45778</v>
      </c>
      <c r="B463" s="2">
        <v>232.44977516</v>
      </c>
      <c r="C463" s="2">
        <v>159.27318296000001</v>
      </c>
      <c r="D463" s="2">
        <v>152.00501252999999</v>
      </c>
      <c r="E463" s="2">
        <v>139.64017944</v>
      </c>
      <c r="F463" s="2">
        <v>151.25757078999999</v>
      </c>
      <c r="G463" s="2">
        <v>7175.8190000000004</v>
      </c>
      <c r="H463" s="2">
        <v>5.8776000000000002</v>
      </c>
    </row>
    <row r="464" spans="1:8" x14ac:dyDescent="0.75">
      <c r="A464" s="1">
        <v>45809</v>
      </c>
      <c r="B464" s="2">
        <v>231.89537849000001</v>
      </c>
      <c r="C464" s="2">
        <v>146.125</v>
      </c>
      <c r="D464" s="2">
        <v>169.375</v>
      </c>
      <c r="E464" s="2">
        <v>134.66757142</v>
      </c>
      <c r="F464" s="2">
        <v>163.44360703000001</v>
      </c>
      <c r="G464" s="2">
        <v>6927.6790000000001</v>
      </c>
      <c r="H464" s="2">
        <v>5.2628599999999999</v>
      </c>
    </row>
    <row r="465" spans="1:8" x14ac:dyDescent="0.75">
      <c r="A465" s="1">
        <v>45839</v>
      </c>
      <c r="B465" s="2">
        <v>222.31806161</v>
      </c>
      <c r="C465" s="2">
        <v>143.01886791999999</v>
      </c>
      <c r="D465" s="2">
        <v>157.48427673</v>
      </c>
      <c r="E465" s="2">
        <v>134.82980676</v>
      </c>
      <c r="F465" s="2">
        <v>169.31477434999999</v>
      </c>
      <c r="G465" s="2">
        <v>7484.3370000000004</v>
      </c>
      <c r="H465" s="2">
        <v>4.7595599999999996</v>
      </c>
    </row>
    <row r="466" spans="1:8" x14ac:dyDescent="0.75">
      <c r="A466" s="1">
        <v>45870</v>
      </c>
      <c r="B466" s="2">
        <v>223.57971807000001</v>
      </c>
      <c r="C466" s="2">
        <v>146.79245283</v>
      </c>
      <c r="D466" s="2">
        <v>142.26415094000001</v>
      </c>
      <c r="E466" s="2">
        <v>134.55683427</v>
      </c>
      <c r="F466" s="2">
        <v>169.23895300000001</v>
      </c>
      <c r="G466" s="2">
        <v>7830.4930000000004</v>
      </c>
      <c r="H466" s="2">
        <v>4.7005800000000004</v>
      </c>
    </row>
    <row r="467" spans="1:8" x14ac:dyDescent="0.75">
      <c r="A467" s="1">
        <v>45901</v>
      </c>
      <c r="B467" s="2">
        <v>218.30523339999999</v>
      </c>
      <c r="C467" s="2">
        <v>167.71356784</v>
      </c>
      <c r="D467" s="2">
        <v>155.65326633000001</v>
      </c>
      <c r="E467" s="2">
        <v>157.19080695</v>
      </c>
      <c r="F467" s="2">
        <v>172.48470348000001</v>
      </c>
      <c r="G467" s="2">
        <v>8061.0619999999999</v>
      </c>
      <c r="H467" s="2">
        <v>3.9756</v>
      </c>
    </row>
    <row r="468" spans="1:8" x14ac:dyDescent="0.75">
      <c r="A468" s="1">
        <v>45931</v>
      </c>
      <c r="B468" s="2">
        <v>219.69098456</v>
      </c>
      <c r="C468" s="2">
        <v>157.21455458</v>
      </c>
      <c r="D468" s="2">
        <v>144.79297364999999</v>
      </c>
      <c r="E468" s="2">
        <v>163.23551136</v>
      </c>
      <c r="F468" s="2">
        <v>161.69791516999999</v>
      </c>
      <c r="G468" s="2">
        <v>8163.875</v>
      </c>
      <c r="H468" s="2">
        <v>3.9992100000000002</v>
      </c>
    </row>
    <row r="469" spans="1:8" x14ac:dyDescent="0.75">
      <c r="A469" s="1">
        <v>45962</v>
      </c>
      <c r="B469" s="41">
        <v>222.93339660999999</v>
      </c>
      <c r="C469" s="41">
        <v>143.16185695999999</v>
      </c>
      <c r="D469" s="41">
        <v>145.04391468</v>
      </c>
      <c r="E469" s="41">
        <v>168.59961856999999</v>
      </c>
      <c r="F469" s="41">
        <v>154.54901454</v>
      </c>
      <c r="G469" s="2">
        <v>8508.7060000000001</v>
      </c>
      <c r="H469" s="2">
        <v>4.1500899999999996</v>
      </c>
    </row>
    <row r="470" spans="1:8" x14ac:dyDescent="0.75">
      <c r="A470" s="1">
        <v>45992</v>
      </c>
      <c r="B470" s="41">
        <v>231.74723865000001</v>
      </c>
      <c r="G470" s="41">
        <v>8646.9380000000001</v>
      </c>
      <c r="H470" s="41">
        <v>4.0589199999999996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4C37-9E14-43D1-8A29-1F43BBB0D7DA}">
  <dimension ref="A1:B155"/>
  <sheetViews>
    <sheetView workbookViewId="0">
      <pane xSplit="1" ySplit="1" topLeftCell="B141" activePane="bottomRight" state="frozen"/>
      <selection pane="topRight" activeCell="B1" sqref="B1"/>
      <selection pane="bottomLeft" activeCell="A2" sqref="A2"/>
      <selection pane="bottomRight" activeCell="B155" sqref="B155"/>
    </sheetView>
  </sheetViews>
  <sheetFormatPr defaultRowHeight="14.75" x14ac:dyDescent="0.75"/>
  <sheetData>
    <row r="1" spans="1:2" x14ac:dyDescent="0.75">
      <c r="A1" s="22" t="e">
        <f ca="1">CEIC.LINK("b5e53f8d-f0f7-45b5-ab75-3e36bd37265a", "Series")</f>
        <v>#NAME?</v>
      </c>
      <c r="B1" s="23" t="s">
        <v>104</v>
      </c>
    </row>
    <row r="2" spans="1:2" x14ac:dyDescent="0.75">
      <c r="A2" s="23" t="s">
        <v>19</v>
      </c>
      <c r="B2" s="23" t="s">
        <v>20</v>
      </c>
    </row>
    <row r="3" spans="1:2" x14ac:dyDescent="0.75">
      <c r="A3" s="23" t="s">
        <v>21</v>
      </c>
      <c r="B3" s="23"/>
    </row>
    <row r="4" spans="1:2" x14ac:dyDescent="0.75">
      <c r="A4" s="23" t="s">
        <v>22</v>
      </c>
      <c r="B4" s="23" t="s">
        <v>96</v>
      </c>
    </row>
    <row r="5" spans="1:2" x14ac:dyDescent="0.75">
      <c r="A5" s="23" t="s">
        <v>24</v>
      </c>
      <c r="B5" s="23" t="s">
        <v>92</v>
      </c>
    </row>
    <row r="6" spans="1:2" x14ac:dyDescent="0.75">
      <c r="A6" s="23" t="s">
        <v>27</v>
      </c>
      <c r="B6" s="23" t="s">
        <v>90</v>
      </c>
    </row>
    <row r="7" spans="1:2" x14ac:dyDescent="0.75">
      <c r="A7" s="23" t="s">
        <v>29</v>
      </c>
      <c r="B7" s="23" t="s">
        <v>30</v>
      </c>
    </row>
    <row r="8" spans="1:2" x14ac:dyDescent="0.75">
      <c r="A8" s="25" t="s">
        <v>32</v>
      </c>
      <c r="B8" s="25" t="s">
        <v>105</v>
      </c>
    </row>
    <row r="9" spans="1:2" x14ac:dyDescent="0.75">
      <c r="A9" s="23" t="s">
        <v>38</v>
      </c>
      <c r="B9" s="23" t="s">
        <v>106</v>
      </c>
    </row>
    <row r="10" spans="1:2" x14ac:dyDescent="0.75">
      <c r="A10" s="23" t="s">
        <v>44</v>
      </c>
      <c r="B10" s="23"/>
    </row>
    <row r="11" spans="1:2" x14ac:dyDescent="0.75">
      <c r="A11" s="23" t="s">
        <v>45</v>
      </c>
      <c r="B11" s="23"/>
    </row>
    <row r="12" spans="1:2" x14ac:dyDescent="0.75">
      <c r="A12" s="23" t="s">
        <v>46</v>
      </c>
      <c r="B12" s="23"/>
    </row>
    <row r="13" spans="1:2" x14ac:dyDescent="0.75">
      <c r="A13" s="23" t="s">
        <v>47</v>
      </c>
      <c r="B13" s="49">
        <v>42156</v>
      </c>
    </row>
    <row r="14" spans="1:2" x14ac:dyDescent="0.75">
      <c r="A14" s="23" t="s">
        <v>48</v>
      </c>
      <c r="B14" s="49">
        <v>46023</v>
      </c>
    </row>
    <row r="15" spans="1:2" x14ac:dyDescent="0.75">
      <c r="A15" s="23" t="s">
        <v>49</v>
      </c>
      <c r="B15" s="29">
        <v>46043</v>
      </c>
    </row>
    <row r="16" spans="1:2" ht="14.5" customHeight="1" x14ac:dyDescent="0.75">
      <c r="A16" s="31" t="s">
        <v>50</v>
      </c>
      <c r="B16" s="31" t="s">
        <v>107</v>
      </c>
    </row>
    <row r="17" spans="1:2" x14ac:dyDescent="0.75">
      <c r="A17" s="25" t="s">
        <v>53</v>
      </c>
      <c r="B17" s="25"/>
    </row>
    <row r="18" spans="1:2" x14ac:dyDescent="0.75">
      <c r="A18" s="33" t="s">
        <v>54</v>
      </c>
      <c r="B18" s="33">
        <v>5.0074218750000004</v>
      </c>
    </row>
    <row r="19" spans="1:2" x14ac:dyDescent="0.75">
      <c r="A19" s="33" t="s">
        <v>55</v>
      </c>
      <c r="B19" s="33">
        <v>0.82563345841535396</v>
      </c>
    </row>
    <row r="20" spans="1:2" x14ac:dyDescent="0.75">
      <c r="A20" s="33" t="s">
        <v>56</v>
      </c>
      <c r="B20" s="33">
        <v>0.90864374669908665</v>
      </c>
    </row>
    <row r="21" spans="1:2" x14ac:dyDescent="0.75">
      <c r="A21" s="33" t="s">
        <v>57</v>
      </c>
      <c r="B21" s="33">
        <v>-0.36542800120332508</v>
      </c>
    </row>
    <row r="22" spans="1:2" x14ac:dyDescent="0.75">
      <c r="A22" s="33" t="s">
        <v>58</v>
      </c>
      <c r="B22" s="33">
        <v>-1.175146270648816</v>
      </c>
    </row>
    <row r="23" spans="1:2" x14ac:dyDescent="0.75">
      <c r="A23" s="33" t="s">
        <v>59</v>
      </c>
      <c r="B23" s="33">
        <v>0.18145939554954851</v>
      </c>
    </row>
    <row r="24" spans="1:2" x14ac:dyDescent="0.75">
      <c r="A24" s="33" t="s">
        <v>60</v>
      </c>
      <c r="B24" s="33">
        <v>3.5</v>
      </c>
    </row>
    <row r="25" spans="1:2" x14ac:dyDescent="0.75">
      <c r="A25" s="33" t="s">
        <v>61</v>
      </c>
      <c r="B25" s="33">
        <v>6.25</v>
      </c>
    </row>
    <row r="26" spans="1:2" x14ac:dyDescent="0.75">
      <c r="A26" s="33" t="s">
        <v>62</v>
      </c>
      <c r="B26" s="33">
        <v>5.125</v>
      </c>
    </row>
    <row r="27" spans="1:2" x14ac:dyDescent="0.75">
      <c r="A27" s="23" t="s">
        <v>63</v>
      </c>
      <c r="B27" s="23">
        <v>128</v>
      </c>
    </row>
    <row r="28" spans="1:2" x14ac:dyDescent="0.75">
      <c r="A28" s="1">
        <v>42156</v>
      </c>
      <c r="B28" s="2">
        <v>5.65</v>
      </c>
    </row>
    <row r="29" spans="1:2" x14ac:dyDescent="0.75">
      <c r="A29" s="1">
        <v>42186</v>
      </c>
      <c r="B29" s="2">
        <v>5.65</v>
      </c>
    </row>
    <row r="30" spans="1:2" x14ac:dyDescent="0.75">
      <c r="A30" s="1">
        <v>42217</v>
      </c>
      <c r="B30" s="2">
        <v>5.75</v>
      </c>
    </row>
    <row r="31" spans="1:2" x14ac:dyDescent="0.75">
      <c r="A31" s="1">
        <v>42248</v>
      </c>
      <c r="B31" s="2">
        <v>6.25</v>
      </c>
    </row>
    <row r="32" spans="1:2" x14ac:dyDescent="0.75">
      <c r="A32" s="1">
        <v>42278</v>
      </c>
      <c r="B32" s="2">
        <v>6.25</v>
      </c>
    </row>
    <row r="33" spans="1:2" x14ac:dyDescent="0.75">
      <c r="A33" s="1">
        <v>42309</v>
      </c>
      <c r="B33" s="2">
        <v>6.25</v>
      </c>
    </row>
    <row r="34" spans="1:2" x14ac:dyDescent="0.75">
      <c r="A34" s="1">
        <v>42339</v>
      </c>
      <c r="B34" s="2">
        <v>6.25</v>
      </c>
    </row>
    <row r="35" spans="1:2" x14ac:dyDescent="0.75">
      <c r="A35" s="1">
        <v>42370</v>
      </c>
      <c r="B35" s="2">
        <v>5.95</v>
      </c>
    </row>
    <row r="36" spans="1:2" x14ac:dyDescent="0.75">
      <c r="A36" s="1">
        <v>42401</v>
      </c>
      <c r="B36" s="2">
        <v>5.7</v>
      </c>
    </row>
    <row r="37" spans="1:2" x14ac:dyDescent="0.75">
      <c r="A37" s="1">
        <v>42430</v>
      </c>
      <c r="B37" s="2">
        <v>5.5</v>
      </c>
    </row>
    <row r="38" spans="1:2" x14ac:dyDescent="0.75">
      <c r="A38" s="1">
        <v>42461</v>
      </c>
      <c r="B38" s="2">
        <v>5.5</v>
      </c>
    </row>
    <row r="39" spans="1:2" x14ac:dyDescent="0.75">
      <c r="A39" s="1">
        <v>42491</v>
      </c>
      <c r="B39" s="2">
        <v>5.5</v>
      </c>
    </row>
    <row r="40" spans="1:2" x14ac:dyDescent="0.75">
      <c r="A40" s="1">
        <v>42522</v>
      </c>
      <c r="B40" s="2">
        <v>5.25</v>
      </c>
    </row>
    <row r="41" spans="1:2" x14ac:dyDescent="0.75">
      <c r="A41" s="1">
        <v>42552</v>
      </c>
      <c r="B41" s="2">
        <v>5.25</v>
      </c>
    </row>
    <row r="42" spans="1:2" x14ac:dyDescent="0.75">
      <c r="A42" s="1">
        <v>42583</v>
      </c>
      <c r="B42" s="2">
        <v>5.25</v>
      </c>
    </row>
    <row r="43" spans="1:2" x14ac:dyDescent="0.75">
      <c r="A43" s="1">
        <v>42614</v>
      </c>
      <c r="B43" s="2">
        <v>5</v>
      </c>
    </row>
    <row r="44" spans="1:2" x14ac:dyDescent="0.75">
      <c r="A44" s="1">
        <v>42644</v>
      </c>
      <c r="B44" s="2">
        <v>4.75</v>
      </c>
    </row>
    <row r="45" spans="1:2" x14ac:dyDescent="0.75">
      <c r="A45" s="1">
        <v>42675</v>
      </c>
      <c r="B45" s="2">
        <v>4.75</v>
      </c>
    </row>
    <row r="46" spans="1:2" x14ac:dyDescent="0.75">
      <c r="A46" s="1">
        <v>42705</v>
      </c>
      <c r="B46" s="2">
        <v>4.75</v>
      </c>
    </row>
    <row r="47" spans="1:2" x14ac:dyDescent="0.75">
      <c r="A47" s="1">
        <v>42736</v>
      </c>
      <c r="B47" s="2">
        <v>4.75</v>
      </c>
    </row>
    <row r="48" spans="1:2" x14ac:dyDescent="0.75">
      <c r="A48" s="1">
        <v>42767</v>
      </c>
      <c r="B48" s="2">
        <v>4.75</v>
      </c>
    </row>
    <row r="49" spans="1:2" x14ac:dyDescent="0.75">
      <c r="A49" s="1">
        <v>42795</v>
      </c>
      <c r="B49" s="2">
        <v>4.75</v>
      </c>
    </row>
    <row r="50" spans="1:2" x14ac:dyDescent="0.75">
      <c r="A50" s="1">
        <v>42826</v>
      </c>
      <c r="B50" s="2">
        <v>4.75</v>
      </c>
    </row>
    <row r="51" spans="1:2" x14ac:dyDescent="0.75">
      <c r="A51" s="1">
        <v>42856</v>
      </c>
      <c r="B51" s="2">
        <v>4.75</v>
      </c>
    </row>
    <row r="52" spans="1:2" x14ac:dyDescent="0.75">
      <c r="A52" s="1">
        <v>42887</v>
      </c>
      <c r="B52" s="2">
        <v>4.75</v>
      </c>
    </row>
    <row r="53" spans="1:2" x14ac:dyDescent="0.75">
      <c r="A53" s="1">
        <v>42917</v>
      </c>
      <c r="B53" s="2">
        <v>4.75</v>
      </c>
    </row>
    <row r="54" spans="1:2" x14ac:dyDescent="0.75">
      <c r="A54" s="1">
        <v>42948</v>
      </c>
      <c r="B54" s="2">
        <v>4.5</v>
      </c>
    </row>
    <row r="55" spans="1:2" x14ac:dyDescent="0.75">
      <c r="A55" s="1">
        <v>42979</v>
      </c>
      <c r="B55" s="2">
        <v>4.25</v>
      </c>
    </row>
    <row r="56" spans="1:2" x14ac:dyDescent="0.75">
      <c r="A56" s="1">
        <v>43009</v>
      </c>
      <c r="B56" s="2">
        <v>4.25</v>
      </c>
    </row>
    <row r="57" spans="1:2" x14ac:dyDescent="0.75">
      <c r="A57" s="1">
        <v>43040</v>
      </c>
      <c r="B57" s="2">
        <v>4.25</v>
      </c>
    </row>
    <row r="58" spans="1:2" x14ac:dyDescent="0.75">
      <c r="A58" s="1">
        <v>43070</v>
      </c>
      <c r="B58" s="2">
        <v>4.25</v>
      </c>
    </row>
    <row r="59" spans="1:2" x14ac:dyDescent="0.75">
      <c r="A59" s="1">
        <v>43101</v>
      </c>
      <c r="B59" s="2">
        <v>4.25</v>
      </c>
    </row>
    <row r="60" spans="1:2" x14ac:dyDescent="0.75">
      <c r="A60" s="1">
        <v>43132</v>
      </c>
      <c r="B60" s="2">
        <v>4.25</v>
      </c>
    </row>
    <row r="61" spans="1:2" x14ac:dyDescent="0.75">
      <c r="A61" s="1">
        <v>43160</v>
      </c>
      <c r="B61" s="2">
        <v>4.25</v>
      </c>
    </row>
    <row r="62" spans="1:2" x14ac:dyDescent="0.75">
      <c r="A62" s="1">
        <v>43191</v>
      </c>
      <c r="B62" s="2">
        <v>4.25</v>
      </c>
    </row>
    <row r="63" spans="1:2" x14ac:dyDescent="0.75">
      <c r="A63" s="1">
        <v>43221</v>
      </c>
      <c r="B63" s="2">
        <v>4.75</v>
      </c>
    </row>
    <row r="64" spans="1:2" x14ac:dyDescent="0.75">
      <c r="A64" s="1">
        <v>43252</v>
      </c>
      <c r="B64" s="2">
        <v>5.25</v>
      </c>
    </row>
    <row r="65" spans="1:2" x14ac:dyDescent="0.75">
      <c r="A65" s="1">
        <v>43282</v>
      </c>
      <c r="B65" s="2">
        <v>5.25</v>
      </c>
    </row>
    <row r="66" spans="1:2" x14ac:dyDescent="0.75">
      <c r="A66" s="1">
        <v>43313</v>
      </c>
      <c r="B66" s="2">
        <v>5.5</v>
      </c>
    </row>
    <row r="67" spans="1:2" x14ac:dyDescent="0.75">
      <c r="A67" s="1">
        <v>43344</v>
      </c>
      <c r="B67" s="2">
        <v>5.75</v>
      </c>
    </row>
    <row r="68" spans="1:2" x14ac:dyDescent="0.75">
      <c r="A68" s="1">
        <v>43374</v>
      </c>
      <c r="B68" s="2">
        <v>5.75</v>
      </c>
    </row>
    <row r="69" spans="1:2" x14ac:dyDescent="0.75">
      <c r="A69" s="1">
        <v>43405</v>
      </c>
      <c r="B69" s="2">
        <v>6</v>
      </c>
    </row>
    <row r="70" spans="1:2" x14ac:dyDescent="0.75">
      <c r="A70" s="1">
        <v>43435</v>
      </c>
      <c r="B70" s="2">
        <v>6</v>
      </c>
    </row>
    <row r="71" spans="1:2" x14ac:dyDescent="0.75">
      <c r="A71" s="1">
        <v>43466</v>
      </c>
      <c r="B71" s="2">
        <v>6</v>
      </c>
    </row>
    <row r="72" spans="1:2" x14ac:dyDescent="0.75">
      <c r="A72" s="1">
        <v>43497</v>
      </c>
      <c r="B72" s="2">
        <v>6</v>
      </c>
    </row>
    <row r="73" spans="1:2" x14ac:dyDescent="0.75">
      <c r="A73" s="1">
        <v>43525</v>
      </c>
      <c r="B73" s="2">
        <v>6</v>
      </c>
    </row>
    <row r="74" spans="1:2" x14ac:dyDescent="0.75">
      <c r="A74" s="1">
        <v>43556</v>
      </c>
      <c r="B74" s="2">
        <v>6</v>
      </c>
    </row>
    <row r="75" spans="1:2" x14ac:dyDescent="0.75">
      <c r="A75" s="1">
        <v>43586</v>
      </c>
      <c r="B75" s="2">
        <v>6</v>
      </c>
    </row>
    <row r="76" spans="1:2" x14ac:dyDescent="0.75">
      <c r="A76" s="1">
        <v>43617</v>
      </c>
      <c r="B76" s="2">
        <v>6</v>
      </c>
    </row>
    <row r="77" spans="1:2" x14ac:dyDescent="0.75">
      <c r="A77" s="1">
        <v>43647</v>
      </c>
      <c r="B77" s="2">
        <v>5.75</v>
      </c>
    </row>
    <row r="78" spans="1:2" x14ac:dyDescent="0.75">
      <c r="A78" s="1">
        <v>43678</v>
      </c>
      <c r="B78" s="2">
        <v>5.5</v>
      </c>
    </row>
    <row r="79" spans="1:2" x14ac:dyDescent="0.75">
      <c r="A79" s="1">
        <v>43709</v>
      </c>
      <c r="B79" s="2">
        <v>5.25</v>
      </c>
    </row>
    <row r="80" spans="1:2" x14ac:dyDescent="0.75">
      <c r="A80" s="1">
        <v>43739</v>
      </c>
      <c r="B80" s="2">
        <v>5</v>
      </c>
    </row>
    <row r="81" spans="1:2" x14ac:dyDescent="0.75">
      <c r="A81" s="1">
        <v>43770</v>
      </c>
      <c r="B81" s="2">
        <v>5</v>
      </c>
    </row>
    <row r="82" spans="1:2" x14ac:dyDescent="0.75">
      <c r="A82" s="1">
        <v>43800</v>
      </c>
      <c r="B82" s="2">
        <v>5</v>
      </c>
    </row>
    <row r="83" spans="1:2" x14ac:dyDescent="0.75">
      <c r="A83" s="1">
        <v>43831</v>
      </c>
      <c r="B83" s="2">
        <v>5</v>
      </c>
    </row>
    <row r="84" spans="1:2" x14ac:dyDescent="0.75">
      <c r="A84" s="1">
        <v>43862</v>
      </c>
      <c r="B84" s="2">
        <v>4.75</v>
      </c>
    </row>
    <row r="85" spans="1:2" x14ac:dyDescent="0.75">
      <c r="A85" s="1">
        <v>43891</v>
      </c>
      <c r="B85" s="2">
        <v>4.5</v>
      </c>
    </row>
    <row r="86" spans="1:2" x14ac:dyDescent="0.75">
      <c r="A86" s="1">
        <v>43922</v>
      </c>
      <c r="B86" s="2">
        <v>4.5</v>
      </c>
    </row>
    <row r="87" spans="1:2" x14ac:dyDescent="0.75">
      <c r="A87" s="1">
        <v>43952</v>
      </c>
      <c r="B87" s="2">
        <v>4.5</v>
      </c>
    </row>
    <row r="88" spans="1:2" x14ac:dyDescent="0.75">
      <c r="A88" s="1">
        <v>43983</v>
      </c>
      <c r="B88" s="2">
        <v>4.25</v>
      </c>
    </row>
    <row r="89" spans="1:2" x14ac:dyDescent="0.75">
      <c r="A89" s="1">
        <v>44013</v>
      </c>
      <c r="B89" s="2">
        <v>4</v>
      </c>
    </row>
    <row r="90" spans="1:2" x14ac:dyDescent="0.75">
      <c r="A90" s="1">
        <v>44044</v>
      </c>
      <c r="B90" s="2">
        <v>4</v>
      </c>
    </row>
    <row r="91" spans="1:2" x14ac:dyDescent="0.75">
      <c r="A91" s="1">
        <v>44075</v>
      </c>
      <c r="B91" s="2">
        <v>4</v>
      </c>
    </row>
    <row r="92" spans="1:2" x14ac:dyDescent="0.75">
      <c r="A92" s="1">
        <v>44105</v>
      </c>
      <c r="B92" s="2">
        <v>4</v>
      </c>
    </row>
    <row r="93" spans="1:2" x14ac:dyDescent="0.75">
      <c r="A93" s="1">
        <v>44136</v>
      </c>
      <c r="B93" s="2">
        <v>3.75</v>
      </c>
    </row>
    <row r="94" spans="1:2" x14ac:dyDescent="0.75">
      <c r="A94" s="1">
        <v>44166</v>
      </c>
      <c r="B94" s="2">
        <v>3.75</v>
      </c>
    </row>
    <row r="95" spans="1:2" x14ac:dyDescent="0.75">
      <c r="A95" s="1">
        <v>44197</v>
      </c>
      <c r="B95" s="2">
        <v>3.75</v>
      </c>
    </row>
    <row r="96" spans="1:2" x14ac:dyDescent="0.75">
      <c r="A96" s="1">
        <v>44228</v>
      </c>
      <c r="B96" s="2">
        <v>3.5</v>
      </c>
    </row>
    <row r="97" spans="1:2" x14ac:dyDescent="0.75">
      <c r="A97" s="1">
        <v>44256</v>
      </c>
      <c r="B97" s="2">
        <v>3.5</v>
      </c>
    </row>
    <row r="98" spans="1:2" x14ac:dyDescent="0.75">
      <c r="A98" s="1">
        <v>44287</v>
      </c>
      <c r="B98" s="2">
        <v>3.5</v>
      </c>
    </row>
    <row r="99" spans="1:2" x14ac:dyDescent="0.75">
      <c r="A99" s="1">
        <v>44317</v>
      </c>
      <c r="B99" s="2">
        <v>3.5</v>
      </c>
    </row>
    <row r="100" spans="1:2" x14ac:dyDescent="0.75">
      <c r="A100" s="1">
        <v>44348</v>
      </c>
      <c r="B100" s="2">
        <v>3.5</v>
      </c>
    </row>
    <row r="101" spans="1:2" x14ac:dyDescent="0.75">
      <c r="A101" s="1">
        <v>44378</v>
      </c>
      <c r="B101" s="2">
        <v>3.5</v>
      </c>
    </row>
    <row r="102" spans="1:2" x14ac:dyDescent="0.75">
      <c r="A102" s="1">
        <v>44409</v>
      </c>
      <c r="B102" s="2">
        <v>3.5</v>
      </c>
    </row>
    <row r="103" spans="1:2" x14ac:dyDescent="0.75">
      <c r="A103" s="1">
        <v>44440</v>
      </c>
      <c r="B103" s="2">
        <v>3.5</v>
      </c>
    </row>
    <row r="104" spans="1:2" x14ac:dyDescent="0.75">
      <c r="A104" s="1">
        <v>44470</v>
      </c>
      <c r="B104" s="2">
        <v>3.5</v>
      </c>
    </row>
    <row r="105" spans="1:2" x14ac:dyDescent="0.75">
      <c r="A105" s="1">
        <v>44501</v>
      </c>
      <c r="B105" s="2">
        <v>3.5</v>
      </c>
    </row>
    <row r="106" spans="1:2" x14ac:dyDescent="0.75">
      <c r="A106" s="1">
        <v>44531</v>
      </c>
      <c r="B106" s="2">
        <v>3.5</v>
      </c>
    </row>
    <row r="107" spans="1:2" x14ac:dyDescent="0.75">
      <c r="A107" s="1">
        <v>44562</v>
      </c>
      <c r="B107" s="2">
        <v>3.5</v>
      </c>
    </row>
    <row r="108" spans="1:2" x14ac:dyDescent="0.75">
      <c r="A108" s="1">
        <v>44593</v>
      </c>
      <c r="B108" s="2">
        <v>3.5</v>
      </c>
    </row>
    <row r="109" spans="1:2" x14ac:dyDescent="0.75">
      <c r="A109" s="1">
        <v>44621</v>
      </c>
      <c r="B109" s="2">
        <v>3.5</v>
      </c>
    </row>
    <row r="110" spans="1:2" x14ac:dyDescent="0.75">
      <c r="A110" s="1">
        <v>44652</v>
      </c>
      <c r="B110" s="2">
        <v>3.5</v>
      </c>
    </row>
    <row r="111" spans="1:2" x14ac:dyDescent="0.75">
      <c r="A111" s="1">
        <v>44682</v>
      </c>
      <c r="B111" s="2">
        <v>3.5</v>
      </c>
    </row>
    <row r="112" spans="1:2" x14ac:dyDescent="0.75">
      <c r="A112" s="1">
        <v>44713</v>
      </c>
      <c r="B112" s="2">
        <v>3.5</v>
      </c>
    </row>
    <row r="113" spans="1:2" x14ac:dyDescent="0.75">
      <c r="A113" s="1">
        <v>44743</v>
      </c>
      <c r="B113" s="2">
        <v>3.5</v>
      </c>
    </row>
    <row r="114" spans="1:2" x14ac:dyDescent="0.75">
      <c r="A114" s="1">
        <v>44774</v>
      </c>
      <c r="B114" s="2">
        <v>3.75</v>
      </c>
    </row>
    <row r="115" spans="1:2" x14ac:dyDescent="0.75">
      <c r="A115" s="1">
        <v>44805</v>
      </c>
      <c r="B115" s="2">
        <v>4.25</v>
      </c>
    </row>
    <row r="116" spans="1:2" x14ac:dyDescent="0.75">
      <c r="A116" s="1">
        <v>44835</v>
      </c>
      <c r="B116" s="2">
        <v>4.75</v>
      </c>
    </row>
    <row r="117" spans="1:2" x14ac:dyDescent="0.75">
      <c r="A117" s="1">
        <v>44866</v>
      </c>
      <c r="B117" s="2">
        <v>5.25</v>
      </c>
    </row>
    <row r="118" spans="1:2" x14ac:dyDescent="0.75">
      <c r="A118" s="1">
        <v>44896</v>
      </c>
      <c r="B118" s="2">
        <v>5.5</v>
      </c>
    </row>
    <row r="119" spans="1:2" x14ac:dyDescent="0.75">
      <c r="A119" s="1">
        <v>44927</v>
      </c>
      <c r="B119" s="2">
        <v>5.75</v>
      </c>
    </row>
    <row r="120" spans="1:2" x14ac:dyDescent="0.75">
      <c r="A120" s="1">
        <v>44958</v>
      </c>
      <c r="B120" s="2">
        <v>5.75</v>
      </c>
    </row>
    <row r="121" spans="1:2" x14ac:dyDescent="0.75">
      <c r="A121" s="1">
        <v>44986</v>
      </c>
      <c r="B121" s="2">
        <v>5.75</v>
      </c>
    </row>
    <row r="122" spans="1:2" x14ac:dyDescent="0.75">
      <c r="A122" s="1">
        <v>45017</v>
      </c>
      <c r="B122" s="2">
        <v>5.75</v>
      </c>
    </row>
    <row r="123" spans="1:2" x14ac:dyDescent="0.75">
      <c r="A123" s="1">
        <v>45047</v>
      </c>
      <c r="B123" s="2">
        <v>5.75</v>
      </c>
    </row>
    <row r="124" spans="1:2" x14ac:dyDescent="0.75">
      <c r="A124" s="1">
        <v>45078</v>
      </c>
      <c r="B124" s="2">
        <v>5.75</v>
      </c>
    </row>
    <row r="125" spans="1:2" x14ac:dyDescent="0.75">
      <c r="A125" s="1">
        <v>45108</v>
      </c>
      <c r="B125" s="2">
        <v>5.75</v>
      </c>
    </row>
    <row r="126" spans="1:2" x14ac:dyDescent="0.75">
      <c r="A126" s="1">
        <v>45139</v>
      </c>
      <c r="B126" s="2">
        <v>5.75</v>
      </c>
    </row>
    <row r="127" spans="1:2" x14ac:dyDescent="0.75">
      <c r="A127" s="1">
        <v>45170</v>
      </c>
      <c r="B127" s="2">
        <v>5.75</v>
      </c>
    </row>
    <row r="128" spans="1:2" x14ac:dyDescent="0.75">
      <c r="A128" s="1">
        <v>45200</v>
      </c>
      <c r="B128" s="2">
        <v>6</v>
      </c>
    </row>
    <row r="129" spans="1:2" x14ac:dyDescent="0.75">
      <c r="A129" s="1">
        <v>45231</v>
      </c>
      <c r="B129" s="2">
        <v>6</v>
      </c>
    </row>
    <row r="130" spans="1:2" x14ac:dyDescent="0.75">
      <c r="A130" s="1">
        <v>45261</v>
      </c>
      <c r="B130" s="2">
        <v>6</v>
      </c>
    </row>
    <row r="131" spans="1:2" x14ac:dyDescent="0.75">
      <c r="A131" s="1">
        <v>45292</v>
      </c>
      <c r="B131" s="2">
        <v>6</v>
      </c>
    </row>
    <row r="132" spans="1:2" x14ac:dyDescent="0.75">
      <c r="A132" s="1">
        <v>45323</v>
      </c>
      <c r="B132" s="2">
        <v>6</v>
      </c>
    </row>
    <row r="133" spans="1:2" x14ac:dyDescent="0.75">
      <c r="A133" s="1">
        <v>45352</v>
      </c>
      <c r="B133" s="2">
        <v>6</v>
      </c>
    </row>
    <row r="134" spans="1:2" x14ac:dyDescent="0.75">
      <c r="A134" s="1">
        <v>45383</v>
      </c>
      <c r="B134" s="2">
        <v>6.25</v>
      </c>
    </row>
    <row r="135" spans="1:2" x14ac:dyDescent="0.75">
      <c r="A135" s="1">
        <v>45413</v>
      </c>
      <c r="B135" s="2">
        <v>6.25</v>
      </c>
    </row>
    <row r="136" spans="1:2" x14ac:dyDescent="0.75">
      <c r="A136" s="1">
        <v>45444</v>
      </c>
      <c r="B136" s="2">
        <v>6.25</v>
      </c>
    </row>
    <row r="137" spans="1:2" x14ac:dyDescent="0.75">
      <c r="A137" s="1">
        <v>45474</v>
      </c>
      <c r="B137" s="2">
        <v>6.25</v>
      </c>
    </row>
    <row r="138" spans="1:2" x14ac:dyDescent="0.75">
      <c r="A138" s="1">
        <v>45505</v>
      </c>
      <c r="B138" s="2">
        <v>6.25</v>
      </c>
    </row>
    <row r="139" spans="1:2" x14ac:dyDescent="0.75">
      <c r="A139" s="1">
        <v>45536</v>
      </c>
      <c r="B139" s="2">
        <v>6</v>
      </c>
    </row>
    <row r="140" spans="1:2" x14ac:dyDescent="0.75">
      <c r="A140" s="1">
        <v>45566</v>
      </c>
      <c r="B140" s="2">
        <v>6</v>
      </c>
    </row>
    <row r="141" spans="1:2" x14ac:dyDescent="0.75">
      <c r="A141" s="1">
        <v>45597</v>
      </c>
      <c r="B141" s="2">
        <v>6</v>
      </c>
    </row>
    <row r="142" spans="1:2" x14ac:dyDescent="0.75">
      <c r="A142" s="1">
        <v>45627</v>
      </c>
      <c r="B142" s="2">
        <v>6</v>
      </c>
    </row>
    <row r="143" spans="1:2" x14ac:dyDescent="0.75">
      <c r="A143" s="1">
        <v>45658</v>
      </c>
      <c r="B143" s="2">
        <v>5.75</v>
      </c>
    </row>
    <row r="144" spans="1:2" x14ac:dyDescent="0.75">
      <c r="A144" s="1">
        <v>45689</v>
      </c>
      <c r="B144" s="2">
        <v>5.75</v>
      </c>
    </row>
    <row r="145" spans="1:2" x14ac:dyDescent="0.75">
      <c r="A145" s="1">
        <v>45717</v>
      </c>
      <c r="B145" s="2">
        <v>5.75</v>
      </c>
    </row>
    <row r="146" spans="1:2" x14ac:dyDescent="0.75">
      <c r="A146" s="1">
        <v>45748</v>
      </c>
      <c r="B146" s="2">
        <v>5.75</v>
      </c>
    </row>
    <row r="147" spans="1:2" x14ac:dyDescent="0.75">
      <c r="A147" s="1">
        <v>45778</v>
      </c>
      <c r="B147" s="2">
        <v>5.5</v>
      </c>
    </row>
    <row r="148" spans="1:2" x14ac:dyDescent="0.75">
      <c r="A148" s="1">
        <v>45809</v>
      </c>
      <c r="B148" s="2">
        <v>5.5</v>
      </c>
    </row>
    <row r="149" spans="1:2" x14ac:dyDescent="0.75">
      <c r="A149" s="1">
        <v>45839</v>
      </c>
      <c r="B149" s="2">
        <v>5.25</v>
      </c>
    </row>
    <row r="150" spans="1:2" x14ac:dyDescent="0.75">
      <c r="A150" s="1">
        <v>45870</v>
      </c>
      <c r="B150" s="2">
        <v>5</v>
      </c>
    </row>
    <row r="151" spans="1:2" x14ac:dyDescent="0.75">
      <c r="A151" s="1">
        <v>45901</v>
      </c>
      <c r="B151" s="2">
        <v>4.75</v>
      </c>
    </row>
    <row r="152" spans="1:2" x14ac:dyDescent="0.75">
      <c r="A152" s="1">
        <v>45931</v>
      </c>
      <c r="B152" s="2">
        <v>4.75</v>
      </c>
    </row>
    <row r="153" spans="1:2" x14ac:dyDescent="0.75">
      <c r="A153" s="1">
        <v>45962</v>
      </c>
      <c r="B153" s="2">
        <v>4.75</v>
      </c>
    </row>
    <row r="154" spans="1:2" x14ac:dyDescent="0.75">
      <c r="A154" s="1">
        <v>45992</v>
      </c>
      <c r="B154" s="2">
        <v>4.75</v>
      </c>
    </row>
    <row r="155" spans="1:2" x14ac:dyDescent="0.75">
      <c r="A155" s="1">
        <v>46023</v>
      </c>
      <c r="B155" s="41">
        <v>4.75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1A36-8572-463E-A576-1CD3FC7587BB}">
  <dimension ref="A1:G90"/>
  <sheetViews>
    <sheetView workbookViewId="0">
      <pane xSplit="1" ySplit="1" topLeftCell="B73" activePane="bottomRight" state="frozen"/>
      <selection pane="topRight" activeCell="B1" sqref="B1"/>
      <selection pane="bottomLeft" activeCell="A2" sqref="A2"/>
      <selection pane="bottomRight" activeCell="I90" sqref="I90"/>
    </sheetView>
  </sheetViews>
  <sheetFormatPr defaultRowHeight="14.75" x14ac:dyDescent="0.75"/>
  <cols>
    <col min="2" max="3" width="11.26953125" customWidth="1"/>
  </cols>
  <sheetData>
    <row r="1" spans="1:4" x14ac:dyDescent="0.75">
      <c r="A1" s="48" t="e">
        <f ca="1">CEIC.LINK("85b214b8-c9ba-4e3b-885d-65290fadb6ce", "Series")</f>
        <v>#NAME?</v>
      </c>
      <c r="B1" s="42" t="s">
        <v>110</v>
      </c>
      <c r="C1" s="42" t="s">
        <v>111</v>
      </c>
      <c r="D1" t="s">
        <v>119</v>
      </c>
    </row>
    <row r="2" spans="1:4" x14ac:dyDescent="0.75">
      <c r="A2" s="42" t="s">
        <v>19</v>
      </c>
      <c r="B2" s="42" t="s">
        <v>20</v>
      </c>
      <c r="C2" s="42" t="s">
        <v>20</v>
      </c>
    </row>
    <row r="3" spans="1:4" x14ac:dyDescent="0.75">
      <c r="A3" s="42" t="s">
        <v>21</v>
      </c>
      <c r="B3" s="42"/>
      <c r="C3" s="42"/>
    </row>
    <row r="4" spans="1:4" x14ac:dyDescent="0.75">
      <c r="A4" s="42" t="s">
        <v>22</v>
      </c>
      <c r="B4" s="42" t="s">
        <v>112</v>
      </c>
      <c r="C4" s="42" t="s">
        <v>112</v>
      </c>
    </row>
    <row r="5" spans="1:4" x14ac:dyDescent="0.75">
      <c r="A5" s="42" t="s">
        <v>24</v>
      </c>
      <c r="B5" s="42" t="s">
        <v>26</v>
      </c>
      <c r="C5" s="42" t="s">
        <v>26</v>
      </c>
    </row>
    <row r="6" spans="1:4" x14ac:dyDescent="0.75">
      <c r="A6" s="42" t="s">
        <v>27</v>
      </c>
      <c r="B6" s="42" t="s">
        <v>28</v>
      </c>
      <c r="C6" s="42" t="s">
        <v>28</v>
      </c>
    </row>
    <row r="7" spans="1:4" x14ac:dyDescent="0.75">
      <c r="A7" s="42" t="s">
        <v>29</v>
      </c>
      <c r="B7" s="42" t="s">
        <v>30</v>
      </c>
      <c r="C7" s="42" t="s">
        <v>30</v>
      </c>
    </row>
    <row r="8" spans="1:4" x14ac:dyDescent="0.75">
      <c r="A8" s="44" t="s">
        <v>32</v>
      </c>
      <c r="B8" s="44" t="s">
        <v>113</v>
      </c>
      <c r="C8" s="44" t="s">
        <v>114</v>
      </c>
    </row>
    <row r="9" spans="1:4" x14ac:dyDescent="0.75">
      <c r="A9" s="42" t="s">
        <v>38</v>
      </c>
      <c r="B9" s="42" t="s">
        <v>115</v>
      </c>
      <c r="C9" s="42" t="s">
        <v>116</v>
      </c>
    </row>
    <row r="10" spans="1:4" x14ac:dyDescent="0.75">
      <c r="A10" s="42" t="s">
        <v>44</v>
      </c>
      <c r="B10" s="42"/>
      <c r="C10" s="42"/>
    </row>
    <row r="11" spans="1:4" x14ac:dyDescent="0.75">
      <c r="A11" s="42" t="s">
        <v>45</v>
      </c>
      <c r="B11" s="42" t="s">
        <v>117</v>
      </c>
      <c r="C11" s="42" t="s">
        <v>118</v>
      </c>
    </row>
    <row r="12" spans="1:4" x14ac:dyDescent="0.75">
      <c r="A12" s="42" t="s">
        <v>46</v>
      </c>
      <c r="B12" s="42"/>
      <c r="C12" s="42"/>
    </row>
    <row r="13" spans="1:4" x14ac:dyDescent="0.75">
      <c r="A13" s="42" t="s">
        <v>47</v>
      </c>
      <c r="B13" s="47">
        <v>40238</v>
      </c>
      <c r="C13" s="47">
        <v>40238</v>
      </c>
    </row>
    <row r="14" spans="1:4" x14ac:dyDescent="0.75">
      <c r="A14" s="42" t="s">
        <v>48</v>
      </c>
      <c r="B14" s="47">
        <v>45901</v>
      </c>
      <c r="C14" s="47">
        <v>45901</v>
      </c>
    </row>
    <row r="15" spans="1:4" x14ac:dyDescent="0.75">
      <c r="A15" s="42" t="s">
        <v>49</v>
      </c>
      <c r="B15" s="46">
        <v>45966</v>
      </c>
      <c r="C15" s="46">
        <v>45966</v>
      </c>
    </row>
    <row r="16" spans="1:4" ht="29.5" x14ac:dyDescent="0.75">
      <c r="A16" s="45" t="s">
        <v>50</v>
      </c>
      <c r="B16" s="45" t="s">
        <v>76</v>
      </c>
      <c r="C16" s="45"/>
    </row>
    <row r="17" spans="1:6" x14ac:dyDescent="0.75">
      <c r="A17" s="44" t="s">
        <v>53</v>
      </c>
      <c r="B17" s="44"/>
      <c r="C17" s="44"/>
    </row>
    <row r="18" spans="1:6" x14ac:dyDescent="0.75">
      <c r="A18" s="43" t="s">
        <v>54</v>
      </c>
      <c r="B18" s="43">
        <v>2495014.509523808</v>
      </c>
      <c r="C18" s="43">
        <v>1341144.676045564</v>
      </c>
    </row>
    <row r="19" spans="1:6" x14ac:dyDescent="0.75">
      <c r="A19" s="43" t="s">
        <v>55</v>
      </c>
      <c r="B19" s="43">
        <v>236999276690.81741</v>
      </c>
      <c r="C19" s="43">
        <v>59576554271.119637</v>
      </c>
    </row>
    <row r="20" spans="1:6" x14ac:dyDescent="0.75">
      <c r="A20" s="43" t="s">
        <v>56</v>
      </c>
      <c r="B20" s="43">
        <v>486825.71490300039</v>
      </c>
      <c r="C20" s="43">
        <v>244083.08886754041</v>
      </c>
    </row>
    <row r="21" spans="1:6" x14ac:dyDescent="0.75">
      <c r="A21" s="43" t="s">
        <v>57</v>
      </c>
      <c r="B21" s="43">
        <v>7.1932799586850837E-2</v>
      </c>
      <c r="C21" s="43">
        <v>-1.027193353761025E-2</v>
      </c>
    </row>
    <row r="22" spans="1:6" x14ac:dyDescent="0.75">
      <c r="A22" s="43" t="s">
        <v>58</v>
      </c>
      <c r="B22" s="43">
        <v>-0.99122256417235199</v>
      </c>
      <c r="C22" s="43">
        <v>-1.036166270836246</v>
      </c>
    </row>
    <row r="23" spans="1:6" x14ac:dyDescent="0.75">
      <c r="A23" s="43" t="s">
        <v>59</v>
      </c>
      <c r="B23" s="43">
        <v>0.19511939231003289</v>
      </c>
      <c r="C23" s="43">
        <v>0.18199609126975949</v>
      </c>
    </row>
    <row r="24" spans="1:6" x14ac:dyDescent="0.75">
      <c r="A24" s="43" t="s">
        <v>60</v>
      </c>
      <c r="B24" s="43">
        <v>1642356.3</v>
      </c>
      <c r="C24" s="43">
        <v>926097.50232407998</v>
      </c>
    </row>
    <row r="25" spans="1:6" x14ac:dyDescent="0.75">
      <c r="A25" s="43" t="s">
        <v>61</v>
      </c>
      <c r="B25" s="43">
        <v>3444756.7</v>
      </c>
      <c r="C25" s="43">
        <v>1796800.8943672001</v>
      </c>
    </row>
    <row r="26" spans="1:6" x14ac:dyDescent="0.75">
      <c r="A26" s="43" t="s">
        <v>62</v>
      </c>
      <c r="B26" s="43">
        <v>2508971.9</v>
      </c>
      <c r="C26" s="43">
        <v>1372141.0344565001</v>
      </c>
    </row>
    <row r="27" spans="1:6" x14ac:dyDescent="0.75">
      <c r="A27" s="42" t="s">
        <v>63</v>
      </c>
      <c r="B27" s="42">
        <v>63</v>
      </c>
      <c r="C27" s="42">
        <v>63</v>
      </c>
    </row>
    <row r="28" spans="1:6" x14ac:dyDescent="0.75">
      <c r="A28" s="1">
        <v>40238</v>
      </c>
      <c r="B28" s="2">
        <v>1642356.3</v>
      </c>
      <c r="C28" s="2">
        <v>926097.50232407998</v>
      </c>
      <c r="D28" s="3">
        <f>VLOOKUP(A28,RSI!$A$279:$B$470,2,FALSE)</f>
        <v>94.4</v>
      </c>
    </row>
    <row r="29" spans="1:6" x14ac:dyDescent="0.75">
      <c r="A29" s="1">
        <v>40330</v>
      </c>
      <c r="B29" s="2">
        <v>1709132</v>
      </c>
      <c r="C29" s="2">
        <v>937226.81682547997</v>
      </c>
      <c r="D29" s="3">
        <f>VLOOKUP(A29,RSI!$A$279:$B$470,2,FALSE)</f>
        <v>96</v>
      </c>
    </row>
    <row r="30" spans="1:6" x14ac:dyDescent="0.75">
      <c r="A30" s="1">
        <v>40422</v>
      </c>
      <c r="B30" s="2">
        <v>1775109.9</v>
      </c>
      <c r="C30" s="2">
        <v>959649.85654963995</v>
      </c>
      <c r="D30" s="3">
        <f>VLOOKUP(A30,RSI!$A$279:$B$470,2,FALSE)</f>
        <v>113.3</v>
      </c>
    </row>
    <row r="31" spans="1:6" x14ac:dyDescent="0.75">
      <c r="A31" s="1">
        <v>40513</v>
      </c>
      <c r="B31" s="2">
        <v>1737534.9</v>
      </c>
      <c r="C31" s="2">
        <v>963088.72508350003</v>
      </c>
      <c r="D31" s="3">
        <f>VLOOKUP(A31,RSI!$A$279:$B$470,2,FALSE)</f>
        <v>105.1</v>
      </c>
    </row>
    <row r="32" spans="1:6" x14ac:dyDescent="0.75">
      <c r="A32" s="1">
        <v>40603</v>
      </c>
      <c r="B32" s="2">
        <v>1748731.2</v>
      </c>
      <c r="C32" s="2">
        <v>964261.89583713003</v>
      </c>
      <c r="D32" s="3">
        <f>VLOOKUP(A32,RSI!$A$279:$B$470,2,FALSE)</f>
        <v>102.4</v>
      </c>
      <c r="E32" s="9">
        <f>C32/C28-1</f>
        <v>4.1209908694575859E-2</v>
      </c>
      <c r="F32" s="9">
        <f>D32/D28-1</f>
        <v>8.4745762711864403E-2</v>
      </c>
    </row>
    <row r="33" spans="1:6" x14ac:dyDescent="0.75">
      <c r="A33" s="1">
        <v>40695</v>
      </c>
      <c r="B33" s="2">
        <v>1816268.2</v>
      </c>
      <c r="C33" s="2">
        <v>980156.56915470003</v>
      </c>
      <c r="D33" s="3">
        <f>VLOOKUP(A33,RSI!$A$279:$B$470,2,FALSE)</f>
        <v>107.8</v>
      </c>
      <c r="E33" s="9">
        <f t="shared" ref="E33:F33" si="0">C33/C29-1</f>
        <v>4.5805083207743902E-2</v>
      </c>
      <c r="F33" s="9">
        <f t="shared" si="0"/>
        <v>0.12291666666666656</v>
      </c>
    </row>
    <row r="34" spans="1:6" x14ac:dyDescent="0.75">
      <c r="A34" s="1">
        <v>40787</v>
      </c>
      <c r="B34" s="2">
        <v>1881849.7</v>
      </c>
      <c r="C34" s="2">
        <v>1016155.3557956</v>
      </c>
      <c r="D34" s="3">
        <f>VLOOKUP(A34,RSI!$A$279:$B$470,2,FALSE)</f>
        <v>106.6</v>
      </c>
      <c r="E34" s="9">
        <f t="shared" ref="E34:F34" si="1">C34/C30-1</f>
        <v>5.888137101288371E-2</v>
      </c>
      <c r="F34" s="9">
        <f t="shared" si="1"/>
        <v>-5.9135039717564064E-2</v>
      </c>
    </row>
    <row r="35" spans="1:6" x14ac:dyDescent="0.75">
      <c r="A35" s="1">
        <v>40878</v>
      </c>
      <c r="B35" s="2">
        <v>1840786.2</v>
      </c>
      <c r="C35" s="2">
        <v>1016714.7352307</v>
      </c>
      <c r="D35" s="3">
        <f>VLOOKUP(A35,RSI!$A$279:$B$470,2,FALSE)</f>
        <v>115.7</v>
      </c>
      <c r="E35" s="9">
        <f t="shared" ref="E35:F35" si="2">C35/C31-1</f>
        <v>5.5681277072941127E-2</v>
      </c>
      <c r="F35" s="9">
        <f t="shared" si="2"/>
        <v>0.10085632730732641</v>
      </c>
    </row>
    <row r="36" spans="1:6" x14ac:dyDescent="0.75">
      <c r="A36" s="1">
        <v>40969</v>
      </c>
      <c r="B36" s="2">
        <v>1855580.2</v>
      </c>
      <c r="C36" s="2">
        <v>1017752.3855404</v>
      </c>
      <c r="D36" s="3">
        <f>VLOOKUP(A36,RSI!$A$279:$B$470,2,FALSE)</f>
        <v>115.18020752</v>
      </c>
      <c r="E36" s="9">
        <f t="shared" ref="E36:F36" si="3">C36/C32-1</f>
        <v>5.5472989168395825E-2</v>
      </c>
      <c r="F36" s="9">
        <f t="shared" si="3"/>
        <v>0.12480671406249999</v>
      </c>
    </row>
    <row r="37" spans="1:6" x14ac:dyDescent="0.75">
      <c r="A37" s="1">
        <v>41061</v>
      </c>
      <c r="B37" s="2">
        <v>1929018.7</v>
      </c>
      <c r="C37" s="2">
        <v>1034180.1497902001</v>
      </c>
      <c r="D37" s="3">
        <f>VLOOKUP(A37,RSI!$A$279:$B$470,2,FALSE)</f>
        <v>123.19219991999999</v>
      </c>
      <c r="E37" s="9">
        <f t="shared" ref="E37:F37" si="4">C37/C33-1</f>
        <v>5.5117296905014657E-2</v>
      </c>
      <c r="F37" s="9">
        <f t="shared" si="4"/>
        <v>0.14278478589981436</v>
      </c>
    </row>
    <row r="38" spans="1:6" x14ac:dyDescent="0.75">
      <c r="A38" s="1">
        <v>41153</v>
      </c>
      <c r="B38" s="2">
        <v>1993632.3</v>
      </c>
      <c r="C38" s="2">
        <v>1071689.6180757</v>
      </c>
      <c r="D38" s="3">
        <f>VLOOKUP(A38,RSI!$A$279:$B$470,2,FALSE)</f>
        <v>127.05197769</v>
      </c>
      <c r="E38" s="9">
        <f t="shared" ref="E38:F38" si="5">C38/C34-1</f>
        <v>5.4651350271750054E-2</v>
      </c>
      <c r="F38" s="9">
        <f t="shared" si="5"/>
        <v>0.19185720159474684</v>
      </c>
    </row>
    <row r="39" spans="1:6" x14ac:dyDescent="0.75">
      <c r="A39" s="1">
        <v>41244</v>
      </c>
      <c r="B39" s="2">
        <v>1948852.2</v>
      </c>
      <c r="C39" s="2">
        <v>1072165.4464026</v>
      </c>
      <c r="D39" s="3">
        <f>VLOOKUP(A39,RSI!$A$279:$B$470,2,FALSE)</f>
        <v>133.15867974</v>
      </c>
      <c r="E39" s="9">
        <f t="shared" ref="E39:F39" si="6">C39/C35-1</f>
        <v>5.453910448078414E-2</v>
      </c>
      <c r="F39" s="9">
        <f t="shared" si="6"/>
        <v>0.150896108383751</v>
      </c>
    </row>
    <row r="40" spans="1:6" x14ac:dyDescent="0.75">
      <c r="A40" s="1">
        <v>41334</v>
      </c>
      <c r="B40" s="2">
        <v>1958395.5</v>
      </c>
      <c r="C40" s="2">
        <v>1075566.1938773</v>
      </c>
      <c r="D40" s="3">
        <f>VLOOKUP(A40,RSI!$A$279:$B$470,2,FALSE)</f>
        <v>125.87523168</v>
      </c>
      <c r="E40" s="9">
        <f t="shared" ref="E40:F40" si="7">C40/C36-1</f>
        <v>5.6805377376936583E-2</v>
      </c>
      <c r="F40" s="9">
        <f t="shared" si="7"/>
        <v>9.2854704729915527E-2</v>
      </c>
    </row>
    <row r="41" spans="1:6" x14ac:dyDescent="0.75">
      <c r="A41" s="1">
        <v>41426</v>
      </c>
      <c r="B41" s="2">
        <v>2036816.6</v>
      </c>
      <c r="C41" s="2">
        <v>1089835.2096049001</v>
      </c>
      <c r="D41" s="3">
        <f>VLOOKUP(A41,RSI!$A$279:$B$470,2,FALSE)</f>
        <v>141.50309587999999</v>
      </c>
      <c r="E41" s="9">
        <f t="shared" ref="E41:F41" si="8">C41/C37-1</f>
        <v>5.3815633403900165E-2</v>
      </c>
      <c r="F41" s="9">
        <f t="shared" si="8"/>
        <v>0.1486368128168094</v>
      </c>
    </row>
    <row r="42" spans="1:6" x14ac:dyDescent="0.75">
      <c r="A42" s="1">
        <v>41518</v>
      </c>
      <c r="B42" s="2">
        <v>2103598.1</v>
      </c>
      <c r="C42" s="2">
        <v>1128699.2528549</v>
      </c>
      <c r="D42" s="3">
        <f>VLOOKUP(A42,RSI!$A$279:$B$470,2,FALSE)</f>
        <v>141.48445053</v>
      </c>
      <c r="E42" s="9">
        <f t="shared" ref="E42:F42" si="9">C42/C38-1</f>
        <v>5.3196031591278281E-2</v>
      </c>
      <c r="F42" s="9">
        <f t="shared" si="9"/>
        <v>0.11359502703070445</v>
      </c>
    </row>
    <row r="43" spans="1:6" x14ac:dyDescent="0.75">
      <c r="A43" s="1">
        <v>41609</v>
      </c>
      <c r="B43" s="2">
        <v>2057687.6</v>
      </c>
      <c r="C43" s="2">
        <v>1129316.2535397999</v>
      </c>
      <c r="D43" s="3">
        <f>VLOOKUP(A43,RSI!$A$279:$B$470,2,FALSE)</f>
        <v>170.73451851999999</v>
      </c>
      <c r="E43" s="9">
        <f t="shared" ref="E43:F43" si="10">C43/C39-1</f>
        <v>5.3304093439082711E-2</v>
      </c>
      <c r="F43" s="9">
        <f t="shared" si="10"/>
        <v>0.2821884300247568</v>
      </c>
    </row>
    <row r="44" spans="1:6" x14ac:dyDescent="0.75">
      <c r="A44" s="1">
        <v>41699</v>
      </c>
      <c r="B44" s="2">
        <v>2058584.9</v>
      </c>
      <c r="C44" s="2">
        <v>1131854.5518968001</v>
      </c>
      <c r="D44" s="3">
        <f>VLOOKUP(A44,RSI!$A$279:$B$470,2,FALSE)</f>
        <v>147.20280919999999</v>
      </c>
      <c r="E44" s="9">
        <f t="shared" ref="E44:F44" si="11">C44/C40-1</f>
        <v>5.2333699534183653E-2</v>
      </c>
      <c r="F44" s="9">
        <f t="shared" si="11"/>
        <v>0.16943426625993396</v>
      </c>
    </row>
    <row r="45" spans="1:6" x14ac:dyDescent="0.75">
      <c r="A45" s="1">
        <v>41791</v>
      </c>
      <c r="B45" s="2">
        <v>2137385.6</v>
      </c>
      <c r="C45" s="2">
        <v>1146012.1486994</v>
      </c>
      <c r="D45" s="3">
        <f>VLOOKUP(A45,RSI!$A$279:$B$470,2,FALSE)</f>
        <v>153.75778769999999</v>
      </c>
      <c r="E45" s="9">
        <f t="shared" ref="E45:F45" si="12">C45/C41-1</f>
        <v>5.1546269196850236E-2</v>
      </c>
      <c r="F45" s="9">
        <f t="shared" si="12"/>
        <v>8.6603701097765828E-2</v>
      </c>
    </row>
    <row r="46" spans="1:6" x14ac:dyDescent="0.75">
      <c r="A46" s="1">
        <v>41883</v>
      </c>
      <c r="B46" s="2">
        <v>2207343.6</v>
      </c>
      <c r="C46" s="2">
        <v>1186520.0011262</v>
      </c>
      <c r="D46" s="3">
        <f>VLOOKUP(A46,RSI!$A$279:$B$470,2,FALSE)</f>
        <v>166.82326130999999</v>
      </c>
      <c r="E46" s="9">
        <f t="shared" ref="E46:F46" si="13">C46/C42-1</f>
        <v>5.1227772256471127E-2</v>
      </c>
      <c r="F46" s="9">
        <f t="shared" si="13"/>
        <v>0.17909254822760334</v>
      </c>
    </row>
    <row r="47" spans="1:6" x14ac:dyDescent="0.75">
      <c r="A47" s="1">
        <v>41974</v>
      </c>
      <c r="B47" s="2">
        <v>2161552.5</v>
      </c>
      <c r="C47" s="2">
        <v>1186631.7415354</v>
      </c>
      <c r="D47" s="3">
        <f>VLOOKUP(A47,RSI!$A$279:$B$470,2,FALSE)</f>
        <v>177.18730606</v>
      </c>
      <c r="E47" s="9">
        <f t="shared" ref="E47:F47" si="14">C47/C43-1</f>
        <v>5.075238031503293E-2</v>
      </c>
      <c r="F47" s="9">
        <f t="shared" si="14"/>
        <v>3.7794276142490313E-2</v>
      </c>
    </row>
    <row r="48" spans="1:6" x14ac:dyDescent="0.75">
      <c r="A48" s="1">
        <v>42064</v>
      </c>
      <c r="B48" s="2">
        <v>2158040</v>
      </c>
      <c r="C48" s="2">
        <v>1188361.9116197999</v>
      </c>
      <c r="D48" s="3">
        <f>VLOOKUP(A48,RSI!$A$279:$B$470,2,FALSE)</f>
        <v>176.19472295</v>
      </c>
      <c r="E48" s="9">
        <f t="shared" ref="E48:F48" si="15">C48/C44-1</f>
        <v>4.9924576994723413E-2</v>
      </c>
      <c r="F48" s="9">
        <f t="shared" si="15"/>
        <v>0.19695217711918511</v>
      </c>
    </row>
    <row r="49" spans="1:6" x14ac:dyDescent="0.75">
      <c r="A49" s="1">
        <v>42156</v>
      </c>
      <c r="B49" s="2">
        <v>2238704.4</v>
      </c>
      <c r="C49" s="2">
        <v>1202958.2832314</v>
      </c>
      <c r="D49" s="3">
        <f>VLOOKUP(A49,RSI!$A$279:$B$470,2,FALSE)</f>
        <v>188.10263548</v>
      </c>
      <c r="E49" s="9">
        <f t="shared" ref="E49:F49" si="16">C49/C45-1</f>
        <v>4.9690690100124613E-2</v>
      </c>
      <c r="F49" s="9">
        <f t="shared" si="16"/>
        <v>0.22336980971013287</v>
      </c>
    </row>
    <row r="50" spans="1:6" x14ac:dyDescent="0.75">
      <c r="A50" s="1">
        <v>42248</v>
      </c>
      <c r="B50" s="2">
        <v>2312843.5</v>
      </c>
      <c r="C50" s="2">
        <v>1245315.9249676999</v>
      </c>
      <c r="D50" s="3">
        <f>VLOOKUP(A50,RSI!$A$279:$B$470,2,FALSE)</f>
        <v>178.58956886999999</v>
      </c>
      <c r="E50" s="9">
        <f t="shared" ref="E50:F50" si="17">C50/C46-1</f>
        <v>4.9553251344851335E-2</v>
      </c>
      <c r="F50" s="9">
        <f t="shared" si="17"/>
        <v>7.0531576157926823E-2</v>
      </c>
    </row>
    <row r="51" spans="1:6" x14ac:dyDescent="0.75">
      <c r="A51" s="1">
        <v>42339</v>
      </c>
      <c r="B51" s="2">
        <v>2272929.2000000002</v>
      </c>
      <c r="C51" s="2">
        <v>1244994.5499156001</v>
      </c>
      <c r="D51" s="3">
        <f>VLOOKUP(A51,RSI!$A$279:$B$470,2,FALSE)</f>
        <v>197.33728539000001</v>
      </c>
      <c r="E51" s="9">
        <f t="shared" ref="E51:F51" si="18">C51/C47-1</f>
        <v>4.9183589429930175E-2</v>
      </c>
      <c r="F51" s="9">
        <f t="shared" si="18"/>
        <v>0.11372134820525304</v>
      </c>
    </row>
    <row r="52" spans="1:6" x14ac:dyDescent="0.75">
      <c r="A52" s="1">
        <v>42430</v>
      </c>
      <c r="B52" s="2">
        <v>2264721</v>
      </c>
      <c r="C52" s="2">
        <v>1247309.5224454</v>
      </c>
      <c r="D52" s="3">
        <f>VLOOKUP(A52,RSI!$A$279:$B$470,2,FALSE)</f>
        <v>195.71446391999999</v>
      </c>
      <c r="E52" s="9">
        <f t="shared" ref="E52:F52" si="19">C52/C48-1</f>
        <v>4.9604089671008822E-2</v>
      </c>
      <c r="F52" s="9">
        <f t="shared" si="19"/>
        <v>0.11078504874143835</v>
      </c>
    </row>
    <row r="53" spans="1:6" x14ac:dyDescent="0.75">
      <c r="A53" s="1">
        <v>42522</v>
      </c>
      <c r="B53" s="2">
        <v>2355445</v>
      </c>
      <c r="C53" s="2">
        <v>1264230.0382617</v>
      </c>
      <c r="D53" s="3">
        <f>VLOOKUP(A53,RSI!$A$279:$B$470,2,FALSE)</f>
        <v>218.73583282999999</v>
      </c>
      <c r="E53" s="9">
        <f t="shared" ref="E53:F53" si="20">C53/C49-1</f>
        <v>5.0934230957461857E-2</v>
      </c>
      <c r="F53" s="9">
        <f t="shared" si="20"/>
        <v>0.16285363185810908</v>
      </c>
    </row>
    <row r="54" spans="1:6" x14ac:dyDescent="0.75">
      <c r="A54" s="1">
        <v>42614</v>
      </c>
      <c r="B54" s="2">
        <v>2429260.6</v>
      </c>
      <c r="C54" s="2">
        <v>1307794.2556453</v>
      </c>
      <c r="D54" s="3">
        <f>VLOOKUP(A54,RSI!$A$279:$B$470,2,FALSE)</f>
        <v>197.54686681999999</v>
      </c>
      <c r="E54" s="9">
        <f t="shared" ref="E54:F54" si="21">C54/C50-1</f>
        <v>5.0170667077288567E-2</v>
      </c>
      <c r="F54" s="9">
        <f t="shared" si="21"/>
        <v>0.10615008519226277</v>
      </c>
    </row>
    <row r="55" spans="1:6" x14ac:dyDescent="0.75">
      <c r="A55" s="1">
        <v>42705</v>
      </c>
      <c r="B55" s="2">
        <v>2385186.7999999998</v>
      </c>
      <c r="C55" s="2">
        <v>1306974.1520913001</v>
      </c>
      <c r="D55" s="3">
        <f>VLOOKUP(A55,RSI!$A$279:$B$470,2,FALSE)</f>
        <v>217.97604135</v>
      </c>
      <c r="E55" s="9">
        <f t="shared" ref="E55:F55" si="22">C55/C51-1</f>
        <v>4.9783030921622728E-2</v>
      </c>
      <c r="F55" s="9">
        <f t="shared" si="22"/>
        <v>0.1045861957572356</v>
      </c>
    </row>
    <row r="56" spans="1:6" x14ac:dyDescent="0.75">
      <c r="A56" s="1">
        <v>42795</v>
      </c>
      <c r="B56" s="2">
        <v>2378146.4</v>
      </c>
      <c r="C56" s="2">
        <v>1308761.6509735</v>
      </c>
      <c r="D56" s="3">
        <f>VLOOKUP(A56,RSI!$A$279:$B$470,2,FALSE)</f>
        <v>204.01657116999999</v>
      </c>
      <c r="E56" s="9">
        <f t="shared" ref="E56:F56" si="23">C56/C52-1</f>
        <v>4.9267745833945442E-2</v>
      </c>
      <c r="F56" s="9">
        <f t="shared" si="23"/>
        <v>4.2419487470244155E-2</v>
      </c>
    </row>
    <row r="57" spans="1:6" x14ac:dyDescent="0.75">
      <c r="A57" s="1">
        <v>42887</v>
      </c>
      <c r="B57" s="2">
        <v>2473512.9</v>
      </c>
      <c r="C57" s="2">
        <v>1326685.9751983001</v>
      </c>
      <c r="D57" s="3">
        <f>VLOOKUP(A57,RSI!$A$279:$B$470,2,FALSE)</f>
        <v>232.4109417</v>
      </c>
      <c r="E57" s="9">
        <f t="shared" ref="E57:F57" si="24">C57/C53-1</f>
        <v>4.9402351665742916E-2</v>
      </c>
      <c r="F57" s="9">
        <f t="shared" si="24"/>
        <v>6.251883238823619E-2</v>
      </c>
    </row>
    <row r="58" spans="1:6" x14ac:dyDescent="0.75">
      <c r="A58" s="1">
        <v>42979</v>
      </c>
      <c r="B58" s="2">
        <v>2552296.9</v>
      </c>
      <c r="C58" s="2">
        <v>1372039.9818726</v>
      </c>
      <c r="D58" s="3">
        <f>VLOOKUP(A58,RSI!$A$279:$B$470,2,FALSE)</f>
        <v>201.19044775</v>
      </c>
      <c r="E58" s="9">
        <f t="shared" ref="E58:F58" si="25">C58/C54-1</f>
        <v>4.9125254947384178E-2</v>
      </c>
      <c r="F58" s="9">
        <f t="shared" si="25"/>
        <v>1.8444134238382759E-2</v>
      </c>
    </row>
    <row r="59" spans="1:6" x14ac:dyDescent="0.75">
      <c r="A59" s="1">
        <v>43070</v>
      </c>
      <c r="B59" s="2">
        <v>2508971.9</v>
      </c>
      <c r="C59" s="2">
        <v>1372141.0344565001</v>
      </c>
      <c r="D59" s="3">
        <f>VLOOKUP(A59,RSI!$A$279:$B$470,2,FALSE)</f>
        <v>219.52023531</v>
      </c>
      <c r="E59" s="9">
        <f t="shared" ref="E59:F59" si="26">C59/C55-1</f>
        <v>4.9860880768702209E-2</v>
      </c>
      <c r="F59" s="9">
        <f t="shared" si="26"/>
        <v>7.0842371043913221E-3</v>
      </c>
    </row>
    <row r="60" spans="1:6" x14ac:dyDescent="0.75">
      <c r="A60" s="1">
        <v>43160</v>
      </c>
      <c r="B60" s="2">
        <v>2498697.5</v>
      </c>
      <c r="C60" s="2">
        <v>1373633.7759901001</v>
      </c>
      <c r="D60" s="3">
        <f>VLOOKUP(A60,RSI!$A$279:$B$470,2,FALSE)</f>
        <v>209.10832798999999</v>
      </c>
      <c r="E60" s="9">
        <f t="shared" ref="E60:F60" si="27">C60/C56-1</f>
        <v>4.9567562564464041E-2</v>
      </c>
      <c r="F60" s="9">
        <f t="shared" si="27"/>
        <v>2.4957564921318065E-2</v>
      </c>
    </row>
    <row r="61" spans="1:6" x14ac:dyDescent="0.75">
      <c r="A61" s="1">
        <v>43252</v>
      </c>
      <c r="B61" s="2">
        <v>2603852.6</v>
      </c>
      <c r="C61" s="2">
        <v>1395305.623348</v>
      </c>
      <c r="D61" s="3">
        <f>VLOOKUP(A61,RSI!$A$279:$B$470,2,FALSE)</f>
        <v>237.82635042000001</v>
      </c>
      <c r="E61" s="9">
        <f t="shared" ref="E61:F61" si="28">C61/C57-1</f>
        <v>5.1722600097165561E-2</v>
      </c>
      <c r="F61" s="9">
        <f t="shared" si="28"/>
        <v>2.3301005883751946E-2</v>
      </c>
    </row>
    <row r="62" spans="1:6" x14ac:dyDescent="0.75">
      <c r="A62" s="1">
        <v>43344</v>
      </c>
      <c r="B62" s="2">
        <v>2684332.2000000002</v>
      </c>
      <c r="C62" s="2">
        <v>1440669.0986194999</v>
      </c>
      <c r="D62" s="3">
        <f>VLOOKUP(A62,RSI!$A$279:$B$470,2,FALSE)</f>
        <v>210.83053898</v>
      </c>
      <c r="E62" s="9">
        <f t="shared" ref="E62:F62" si="29">C62/C58-1</f>
        <v>5.0019764477440942E-2</v>
      </c>
      <c r="F62" s="9">
        <f t="shared" si="29"/>
        <v>4.791525312364131E-2</v>
      </c>
    </row>
    <row r="63" spans="1:6" x14ac:dyDescent="0.75">
      <c r="A63" s="1">
        <v>43435</v>
      </c>
      <c r="B63" s="2">
        <v>2638969.6</v>
      </c>
      <c r="C63" s="2">
        <v>1441847.7703094999</v>
      </c>
      <c r="D63" s="3">
        <f>VLOOKUP(A63,RSI!$A$279:$B$470,2,FALSE)</f>
        <v>236.33557325999999</v>
      </c>
      <c r="E63" s="9">
        <f t="shared" ref="E63:F63" si="30">C63/C59-1</f>
        <v>5.0801436661800814E-2</v>
      </c>
      <c r="F63" s="9">
        <f t="shared" si="30"/>
        <v>7.6600400533708646E-2</v>
      </c>
    </row>
    <row r="64" spans="1:6" x14ac:dyDescent="0.75">
      <c r="A64" s="1">
        <v>43525</v>
      </c>
      <c r="B64" s="2">
        <v>2625180.5</v>
      </c>
      <c r="C64" s="2">
        <v>1442549.4780592001</v>
      </c>
      <c r="D64" s="3">
        <f>VLOOKUP(A64,RSI!$A$279:$B$470,2,FALSE)</f>
        <v>230.16173877</v>
      </c>
      <c r="E64" s="9">
        <f t="shared" ref="E64:F64" si="31">C64/C60-1</f>
        <v>5.0170360742204601E-2</v>
      </c>
      <c r="F64" s="9">
        <f t="shared" si="31"/>
        <v>0.10068183788933949</v>
      </c>
    </row>
    <row r="65" spans="1:6" x14ac:dyDescent="0.75">
      <c r="A65" s="1">
        <v>43617</v>
      </c>
      <c r="B65" s="2">
        <v>2735414.1</v>
      </c>
      <c r="C65" s="2">
        <v>1467584.8135434</v>
      </c>
      <c r="D65" s="3">
        <f>VLOOKUP(A65,RSI!$A$279:$B$470,2,FALSE)</f>
        <v>233.58105121</v>
      </c>
      <c r="E65" s="9">
        <f t="shared" ref="E65:F65" si="32">C65/C61-1</f>
        <v>5.1801690601638972E-2</v>
      </c>
      <c r="F65" s="9">
        <f t="shared" si="32"/>
        <v>-1.7850415660429664E-2</v>
      </c>
    </row>
    <row r="66" spans="1:6" x14ac:dyDescent="0.75">
      <c r="A66" s="1">
        <v>43709</v>
      </c>
      <c r="B66" s="2">
        <v>2818812.7</v>
      </c>
      <c r="C66" s="2">
        <v>1512796.6861654001</v>
      </c>
      <c r="D66" s="3">
        <f>VLOOKUP(A66,RSI!$A$279:$B$470,2,FALSE)</f>
        <v>212.36304655000001</v>
      </c>
      <c r="E66" s="9">
        <f t="shared" ref="E66:F66" si="33">C66/C62-1</f>
        <v>5.0065339511353057E-2</v>
      </c>
      <c r="F66" s="9">
        <f t="shared" si="33"/>
        <v>7.2689069496967296E-3</v>
      </c>
    </row>
    <row r="67" spans="1:6" x14ac:dyDescent="0.75">
      <c r="A67" s="1">
        <v>43800</v>
      </c>
      <c r="B67" s="2">
        <v>2769748.1</v>
      </c>
      <c r="C67" s="2">
        <v>1513468.4874780001</v>
      </c>
      <c r="D67" s="3">
        <f>VLOOKUP(A67,RSI!$A$279:$B$470,2,FALSE)</f>
        <v>235.09791129000001</v>
      </c>
      <c r="E67" s="9">
        <f t="shared" ref="E67:F67" si="34">C67/C63-1</f>
        <v>4.9672870217863929E-2</v>
      </c>
      <c r="F67" s="9">
        <f t="shared" si="34"/>
        <v>-5.2368839482255236E-3</v>
      </c>
    </row>
    <row r="68" spans="1:6" x14ac:dyDescent="0.75">
      <c r="A68" s="1">
        <v>43891</v>
      </c>
      <c r="B68" s="2">
        <v>2703027.1</v>
      </c>
      <c r="C68" s="2">
        <v>1483329.2327624999</v>
      </c>
      <c r="D68" s="3">
        <f>VLOOKUP(A68,RSI!$A$279:$B$470,2,FALSE)</f>
        <v>219.89806325000001</v>
      </c>
      <c r="E68" s="9">
        <f t="shared" ref="E68:F68" si="35">C68/C64-1</f>
        <v>2.8269224261316062E-2</v>
      </c>
      <c r="F68" s="9">
        <f t="shared" si="35"/>
        <v>-4.4593317615906902E-2</v>
      </c>
    </row>
    <row r="69" spans="1:6" x14ac:dyDescent="0.75">
      <c r="A69" s="1">
        <v>43983</v>
      </c>
      <c r="B69" s="2">
        <v>2589769.2000000002</v>
      </c>
      <c r="C69" s="2">
        <v>1386530.1778062</v>
      </c>
      <c r="D69" s="3">
        <f>VLOOKUP(A69,RSI!$A$279:$B$470,2,FALSE)</f>
        <v>193.56968316000001</v>
      </c>
      <c r="E69" s="9">
        <f t="shared" ref="E69:F69" si="36">C69/C65-1</f>
        <v>-5.5229949907629639E-2</v>
      </c>
      <c r="F69" s="9">
        <f t="shared" si="36"/>
        <v>-0.17129543617828802</v>
      </c>
    </row>
    <row r="70" spans="1:6" x14ac:dyDescent="0.75">
      <c r="A70" s="1">
        <v>44075</v>
      </c>
      <c r="B70" s="2">
        <v>2720481.3</v>
      </c>
      <c r="C70" s="2">
        <v>1451572.6760080999</v>
      </c>
      <c r="D70" s="3">
        <f>VLOOKUP(A70,RSI!$A$279:$B$470,2,FALSE)</f>
        <v>193.82974533000001</v>
      </c>
      <c r="E70" s="9">
        <f t="shared" ref="E70:F70" si="37">C70/C66-1</f>
        <v>-4.0470745816140852E-2</v>
      </c>
      <c r="F70" s="9">
        <f t="shared" si="37"/>
        <v>-8.7271780665646115E-2</v>
      </c>
    </row>
    <row r="71" spans="1:6" x14ac:dyDescent="0.75">
      <c r="A71" s="1">
        <v>44166</v>
      </c>
      <c r="B71" s="2">
        <v>2709721.7</v>
      </c>
      <c r="C71" s="2">
        <v>1458791.3525986001</v>
      </c>
      <c r="D71" s="3">
        <f>VLOOKUP(A71,RSI!$A$279:$B$470,2,FALSE)</f>
        <v>190.05839058999999</v>
      </c>
      <c r="E71" s="9">
        <f t="shared" ref="E71:F71" si="38">C71/C67-1</f>
        <v>-3.6127038872485806E-2</v>
      </c>
      <c r="F71" s="9">
        <f t="shared" si="38"/>
        <v>-0.19157771522879452</v>
      </c>
    </row>
    <row r="72" spans="1:6" x14ac:dyDescent="0.75">
      <c r="A72" s="1">
        <v>44256</v>
      </c>
      <c r="B72" s="2">
        <v>2684445.5</v>
      </c>
      <c r="C72" s="2">
        <v>1450447.9536760999</v>
      </c>
      <c r="D72" s="3">
        <f>VLOOKUP(A72,RSI!$A$279:$B$470,2,FALSE)</f>
        <v>187.87382901999999</v>
      </c>
      <c r="E72" s="9">
        <f t="shared" ref="E72:F72" si="39">C72/C68-1</f>
        <v>-2.2167215719980926E-2</v>
      </c>
      <c r="F72" s="9">
        <f t="shared" si="39"/>
        <v>-0.14563217955035812</v>
      </c>
    </row>
    <row r="73" spans="1:6" x14ac:dyDescent="0.75">
      <c r="A73" s="1">
        <v>44348</v>
      </c>
      <c r="B73" s="2">
        <v>2773065.2</v>
      </c>
      <c r="C73" s="2">
        <v>1469141.765896</v>
      </c>
      <c r="D73" s="3">
        <f>VLOOKUP(A73,RSI!$A$279:$B$470,2,FALSE)</f>
        <v>198.49801814</v>
      </c>
      <c r="E73" s="9">
        <f t="shared" ref="E73:F73" si="40">C73/C69-1</f>
        <v>5.9581529065966699E-2</v>
      </c>
      <c r="F73" s="9">
        <f t="shared" si="40"/>
        <v>2.5460262679287249E-2</v>
      </c>
    </row>
    <row r="74" spans="1:6" x14ac:dyDescent="0.75">
      <c r="A74" s="1">
        <v>44440</v>
      </c>
      <c r="B74" s="2">
        <v>2816492.1</v>
      </c>
      <c r="C74" s="2">
        <v>1466410.5130441999</v>
      </c>
      <c r="D74" s="3">
        <f>VLOOKUP(A74,RSI!$A$279:$B$470,2,FALSE)</f>
        <v>189.49343049999999</v>
      </c>
      <c r="E74" s="9">
        <f t="shared" ref="E74:F74" si="41">C74/C70-1</f>
        <v>1.0221904339577925E-2</v>
      </c>
      <c r="F74" s="9">
        <f t="shared" si="41"/>
        <v>-2.2371771797034201E-2</v>
      </c>
    </row>
    <row r="75" spans="1:6" x14ac:dyDescent="0.75">
      <c r="A75" s="1">
        <v>44531</v>
      </c>
      <c r="B75" s="2">
        <v>2846056.9</v>
      </c>
      <c r="C75" s="2">
        <v>1510661.6167468</v>
      </c>
      <c r="D75" s="3">
        <f>VLOOKUP(A75,RSI!$A$279:$B$470,2,FALSE)</f>
        <v>216.27801706</v>
      </c>
      <c r="E75" s="9">
        <f t="shared" ref="E75:F75" si="42">C75/C71-1</f>
        <v>3.5557013726329911E-2</v>
      </c>
      <c r="F75" s="9">
        <f t="shared" si="42"/>
        <v>0.13795563767853758</v>
      </c>
    </row>
    <row r="76" spans="1:6" x14ac:dyDescent="0.75">
      <c r="A76" s="1">
        <v>44621</v>
      </c>
      <c r="B76" s="2">
        <v>2819331.8</v>
      </c>
      <c r="C76" s="2">
        <v>1513588.99</v>
      </c>
      <c r="D76" s="3">
        <f>VLOOKUP(A76,RSI!$A$279:$B$470,2,FALSE)</f>
        <v>205.32203723999999</v>
      </c>
      <c r="E76" s="9">
        <f t="shared" ref="E76:F76" si="43">C76/C72-1</f>
        <v>4.3532093767219893E-2</v>
      </c>
      <c r="F76" s="9">
        <f t="shared" si="43"/>
        <v>9.2871946619784707E-2</v>
      </c>
    </row>
    <row r="77" spans="1:6" x14ac:dyDescent="0.75">
      <c r="A77" s="1">
        <v>44713</v>
      </c>
      <c r="B77" s="2">
        <v>2924444</v>
      </c>
      <c r="C77" s="2">
        <v>1550186.39</v>
      </c>
      <c r="D77" s="3">
        <f>VLOOKUP(A77,RSI!$A$279:$B$470,2,FALSE)</f>
        <v>206.61160408999999</v>
      </c>
      <c r="E77" s="9">
        <f t="shared" ref="E77:F77" si="44">C77/C73-1</f>
        <v>5.5164604250817373E-2</v>
      </c>
      <c r="F77" s="9">
        <f t="shared" si="44"/>
        <v>4.0874896515478154E-2</v>
      </c>
    </row>
    <row r="78" spans="1:6" x14ac:dyDescent="0.75">
      <c r="A78" s="1">
        <v>44805</v>
      </c>
      <c r="B78" s="2">
        <v>2977920</v>
      </c>
      <c r="C78" s="2">
        <v>1545569.01</v>
      </c>
      <c r="D78" s="3">
        <f>VLOOKUP(A78,RSI!$A$279:$B$470,2,FALSE)</f>
        <v>198.13708998999999</v>
      </c>
      <c r="E78" s="9">
        <f t="shared" ref="E78:F78" si="45">C78/C74-1</f>
        <v>5.3981130284909584E-2</v>
      </c>
      <c r="F78" s="9">
        <f t="shared" si="45"/>
        <v>4.5614560183921515E-2</v>
      </c>
    </row>
    <row r="79" spans="1:6" x14ac:dyDescent="0.75">
      <c r="A79" s="1">
        <v>44896</v>
      </c>
      <c r="B79" s="2">
        <v>2988527.4</v>
      </c>
      <c r="C79" s="2">
        <v>1578599.51</v>
      </c>
      <c r="D79" s="3">
        <f>VLOOKUP(A79,RSI!$A$279:$B$470,2,FALSE)</f>
        <v>217.75590052000001</v>
      </c>
      <c r="E79" s="9">
        <f t="shared" ref="E79:F79" si="46">C79/C75-1</f>
        <v>4.4972277378374059E-2</v>
      </c>
      <c r="F79" s="9">
        <f t="shared" si="46"/>
        <v>6.8332578599055172E-3</v>
      </c>
    </row>
    <row r="80" spans="1:6" x14ac:dyDescent="0.75">
      <c r="A80" s="1">
        <v>44986</v>
      </c>
      <c r="B80" s="2">
        <v>2961564.4</v>
      </c>
      <c r="C80" s="2">
        <v>1582192</v>
      </c>
      <c r="D80" s="3">
        <f>VLOOKUP(A80,RSI!$A$279:$B$470,2,FALSE)</f>
        <v>215.33381954000001</v>
      </c>
      <c r="E80" s="9">
        <f t="shared" ref="E80:F80" si="47">C80/C76-1</f>
        <v>4.5324728478634002E-2</v>
      </c>
      <c r="F80" s="9">
        <f t="shared" si="47"/>
        <v>4.8761362562837363E-2</v>
      </c>
    </row>
    <row r="81" spans="1:7" x14ac:dyDescent="0.75">
      <c r="A81" s="1">
        <v>45078</v>
      </c>
      <c r="B81" s="2">
        <v>3075781.9</v>
      </c>
      <c r="C81" s="2">
        <v>1631160.42</v>
      </c>
      <c r="D81" s="3">
        <f>VLOOKUP(A81,RSI!$A$279:$B$470,2,FALSE)</f>
        <v>222.92251171000001</v>
      </c>
      <c r="E81" s="9">
        <f t="shared" ref="E81:F81" si="48">C81/C77-1</f>
        <v>5.2235028331012456E-2</v>
      </c>
      <c r="F81" s="9">
        <f t="shared" si="48"/>
        <v>7.8944779949992494E-2</v>
      </c>
    </row>
    <row r="82" spans="1:7" x14ac:dyDescent="0.75">
      <c r="A82" s="1">
        <v>45170</v>
      </c>
      <c r="B82" s="2">
        <v>3124968.2</v>
      </c>
      <c r="C82" s="2">
        <v>1623663.56</v>
      </c>
      <c r="D82" s="3">
        <f>VLOOKUP(A82,RSI!$A$279:$B$470,2,FALSE)</f>
        <v>201.05967118999999</v>
      </c>
      <c r="E82" s="9">
        <f t="shared" ref="E82:F82" si="49">C82/C78-1</f>
        <v>5.0528025274005683E-2</v>
      </c>
      <c r="F82" s="9">
        <f t="shared" si="49"/>
        <v>1.4750298392630645E-2</v>
      </c>
    </row>
    <row r="83" spans="1:7" x14ac:dyDescent="0.75">
      <c r="A83" s="1">
        <v>45261</v>
      </c>
      <c r="B83" s="2">
        <v>3139160.6</v>
      </c>
      <c r="C83" s="2">
        <v>1649237.89</v>
      </c>
      <c r="D83" s="3">
        <f>VLOOKUP(A83,RSI!$A$279:$B$470,2,FALSE)</f>
        <v>218.14754354999999</v>
      </c>
      <c r="E83" s="9">
        <f t="shared" ref="E83:F83" si="50">C83/C79-1</f>
        <v>4.4747499003087832E-2</v>
      </c>
      <c r="F83" s="9">
        <f t="shared" si="50"/>
        <v>1.7985415277599337E-3</v>
      </c>
    </row>
    <row r="84" spans="1:7" x14ac:dyDescent="0.75">
      <c r="A84" s="1">
        <v>45352</v>
      </c>
      <c r="B84" s="2">
        <v>3113039.9</v>
      </c>
      <c r="C84" s="2">
        <v>1659855.1185318001</v>
      </c>
      <c r="D84" s="3">
        <f>VLOOKUP(A84,RSI!$A$279:$B$470,2,FALSE)</f>
        <v>235.39061534999999</v>
      </c>
      <c r="E84" s="9">
        <f t="shared" ref="E84:F84" si="51">C84/C80-1</f>
        <v>4.9085773744147465E-2</v>
      </c>
      <c r="F84" s="9">
        <f t="shared" si="51"/>
        <v>9.3142804287991821E-2</v>
      </c>
    </row>
    <row r="85" spans="1:7" x14ac:dyDescent="0.75">
      <c r="A85" s="1">
        <v>45444</v>
      </c>
      <c r="B85" s="2">
        <v>3230990.3</v>
      </c>
      <c r="C85" s="2">
        <v>1711656.0744149999</v>
      </c>
      <c r="D85" s="3">
        <f>VLOOKUP(A85,RSI!$A$279:$B$470,2,FALSE)</f>
        <v>228.982235</v>
      </c>
      <c r="E85" s="9">
        <f t="shared" ref="E85:F85" si="52">C85/C81-1</f>
        <v>4.9348705024978567E-2</v>
      </c>
      <c r="F85" s="9">
        <f t="shared" si="52"/>
        <v>2.7183092651867691E-2</v>
      </c>
    </row>
    <row r="86" spans="1:7" x14ac:dyDescent="0.75">
      <c r="A86" s="1">
        <v>45536</v>
      </c>
      <c r="B86" s="2">
        <v>3279509.8</v>
      </c>
      <c r="C86" s="2">
        <v>1703460.7335945</v>
      </c>
      <c r="D86" s="3">
        <f>VLOOKUP(A86,RSI!$A$279:$B$470,2,FALSE)</f>
        <v>210.61295147999999</v>
      </c>
      <c r="E86" s="9">
        <f t="shared" ref="E86:F86" si="53">C86/C82-1</f>
        <v>4.9146372167458097E-2</v>
      </c>
      <c r="F86" s="9">
        <f t="shared" si="53"/>
        <v>4.7514651911333416E-2</v>
      </c>
    </row>
    <row r="87" spans="1:7" x14ac:dyDescent="0.75">
      <c r="A87" s="1">
        <v>45627</v>
      </c>
      <c r="B87" s="2">
        <v>3296741.7</v>
      </c>
      <c r="C87" s="2">
        <v>1731431.5333525001</v>
      </c>
      <c r="D87" s="3">
        <f>VLOOKUP(A87,RSI!$A$279:$B$470,2,FALSE)</f>
        <v>221.99624772999999</v>
      </c>
      <c r="E87" s="9">
        <f t="shared" ref="E87:F87" si="54">C87/C83-1</f>
        <v>4.983734842066978E-2</v>
      </c>
      <c r="F87" s="9">
        <f t="shared" si="54"/>
        <v>1.7642665681073089E-2</v>
      </c>
    </row>
    <row r="88" spans="1:7" x14ac:dyDescent="0.75">
      <c r="A88" s="1">
        <v>45717</v>
      </c>
      <c r="B88" s="2">
        <v>3264533.7</v>
      </c>
      <c r="C88" s="2">
        <v>1742090.9508622999</v>
      </c>
      <c r="D88" s="3">
        <f>VLOOKUP(A88,RSI!$A$279:$B$470,2,FALSE)</f>
        <v>248.27762322000001</v>
      </c>
      <c r="E88" s="9">
        <f t="shared" ref="E88:F88" si="55">C88/C84-1</f>
        <v>4.9543982129741648E-2</v>
      </c>
      <c r="F88" s="9">
        <f t="shared" si="55"/>
        <v>5.4747330732954014E-2</v>
      </c>
    </row>
    <row r="89" spans="1:7" x14ac:dyDescent="0.75">
      <c r="A89" s="1">
        <v>45809</v>
      </c>
      <c r="B89" s="2">
        <v>3396302.6</v>
      </c>
      <c r="C89" s="2">
        <v>1796800.8943672001</v>
      </c>
      <c r="D89" s="3">
        <f>VLOOKUP(A89,RSI!$A$279:$B$470,2,FALSE)</f>
        <v>231.89537849000001</v>
      </c>
      <c r="E89" s="9">
        <f t="shared" ref="E89:F89" si="56">C89/C85-1</f>
        <v>4.974411695486225E-2</v>
      </c>
      <c r="F89" s="9">
        <f t="shared" si="56"/>
        <v>1.2722137549229462E-2</v>
      </c>
    </row>
    <row r="90" spans="1:7" ht="19" x14ac:dyDescent="0.95">
      <c r="A90" s="1">
        <v>45901</v>
      </c>
      <c r="B90" s="2">
        <v>3444756.7</v>
      </c>
      <c r="C90" s="2">
        <v>1786738.8032720999</v>
      </c>
      <c r="D90" s="3">
        <f>VLOOKUP(A90,RSI!$A$279:$B$470,2,FALSE)</f>
        <v>218.30523339999999</v>
      </c>
      <c r="E90" s="9">
        <f t="shared" ref="E90:F90" si="57">C90/C86-1</f>
        <v>4.888757811392197E-2</v>
      </c>
      <c r="F90" s="9">
        <f t="shared" si="57"/>
        <v>3.6523309065019438E-2</v>
      </c>
      <c r="G90" s="50">
        <f>CORREL(E32:E90,F32:F90)</f>
        <v>0.667494190056105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</vt:lpstr>
      <vt:lpstr>Monthly</vt:lpstr>
      <vt:lpstr>Annual</vt:lpstr>
      <vt:lpstr>PPh</vt:lpstr>
      <vt:lpstr>National_income</vt:lpstr>
      <vt:lpstr>RSI</vt:lpstr>
      <vt:lpstr>7DRR</vt:lpstr>
      <vt:lpstr>C 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 Mansur</dc:creator>
  <cp:lastModifiedBy>Alfan Mansur</cp:lastModifiedBy>
  <dcterms:created xsi:type="dcterms:W3CDTF">2026-02-01T09:24:47Z</dcterms:created>
  <dcterms:modified xsi:type="dcterms:W3CDTF">2026-02-02T09:14:59Z</dcterms:modified>
</cp:coreProperties>
</file>